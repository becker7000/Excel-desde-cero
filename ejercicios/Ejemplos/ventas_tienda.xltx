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codeName="ThisWorkbook" hidePivotFieldList="1" refreshAllConnections="1"/>
  <bookViews>
    <workbookView xWindow="0" yWindow="0" windowWidth="11460" windowHeight="7470"/>
  </bookViews>
  <sheets>
    <sheet name="Datos de ventas" sheetId="1" r:id="rId1"/>
    <sheet name="Informe de ventas" sheetId="3" r:id="rId2"/>
    <sheet name="Inventario" sheetId="2" r:id="rId3"/>
  </sheets>
  <definedNames>
    <definedName name="_xlnm.Print_Area" localSheetId="0">'Datos de ventas'!$B:$J</definedName>
    <definedName name="_xlnm.Print_Area" localSheetId="1">'Informe de ventas'!$B:$G</definedName>
    <definedName name="_xlnm.Print_Area" localSheetId="2">Inventario!$B:$C</definedName>
    <definedName name="NP">tblInventory[SKU/NÚMERO DE PRODUCTO]</definedName>
    <definedName name="NP_Descripción">tblInventory[DESCRIPCIÓN]</definedName>
    <definedName name="PT_FilaFin">COUNTA('Informe de ventas'!$G:$G)+PT_FilaInicio-3</definedName>
    <definedName name="PT_FilaInicio">ROW(INDEX('Informe de ventas'!$G:$G,MATCH("*",'Informe de ventas'!$G:$G,0),1))+1</definedName>
    <definedName name="_xlnm.Print_Titles" localSheetId="0">'Datos de ventas'!$8:$8</definedName>
    <definedName name="_xlnm.Print_Titles" localSheetId="1">'Informe de ventas'!$8:$8</definedName>
    <definedName name="_xlnm.Print_Titles" localSheetId="2">Inventario!$8:$8</definedName>
  </definedNames>
  <calcPr calcId="152511"/>
  <pivotCaches>
    <pivotCache cacheId="0" r:id="rId4"/>
  </pivotCaches>
</workbook>
</file>

<file path=xl/calcChain.xml><?xml version="1.0" encoding="utf-8"?>
<calcChain xmlns="http://schemas.openxmlformats.org/spreadsheetml/2006/main">
  <c r="F9" i="1" l="1"/>
  <c r="F10" i="1"/>
  <c r="F11" i="1"/>
  <c r="F12" i="1"/>
  <c r="F13" i="1"/>
  <c r="I13" i="1" l="1"/>
  <c r="J13" i="1" s="1"/>
  <c r="I12" i="1"/>
  <c r="J12" i="1" s="1"/>
  <c r="I11" i="1"/>
  <c r="J11" i="1" s="1"/>
  <c r="I10" i="1"/>
  <c r="J10" i="1" s="1"/>
  <c r="I9" i="1"/>
  <c r="J9" i="1" s="1"/>
</calcChain>
</file>

<file path=xl/sharedStrings.xml><?xml version="1.0" encoding="utf-8"?>
<sst xmlns="http://schemas.openxmlformats.org/spreadsheetml/2006/main" count="51" uniqueCount="38">
  <si>
    <t xml:space="preserve">Total </t>
  </si>
  <si>
    <t>TOTAL</t>
  </si>
  <si>
    <t xml:space="preserve"> </t>
  </si>
  <si>
    <t>FECHA</t>
  </si>
  <si>
    <t>HORA</t>
  </si>
  <si>
    <t>NÚMERO DE TRANSACCIÓN</t>
  </si>
  <si>
    <t>SKU/NÚMERO DE PRODUCTO</t>
  </si>
  <si>
    <t>DESCRIPCIÓN</t>
  </si>
  <si>
    <t>MONTO DE VENTAS</t>
  </si>
  <si>
    <t>% DE IMPUESTO</t>
  </si>
  <si>
    <t>IMPUESTO A LAS VENTAS</t>
  </si>
  <si>
    <t>VENTAS EN EFECTIVO EN LA CAJA REGISTRADORA</t>
  </si>
  <si>
    <t>Frazada</t>
  </si>
  <si>
    <t>Almohada</t>
  </si>
  <si>
    <t>Sábanas</t>
  </si>
  <si>
    <t>Plato cuadrado</t>
  </si>
  <si>
    <t>Plato redondo</t>
  </si>
  <si>
    <t>Tazón, grande</t>
  </si>
  <si>
    <t>Tazón, pequeño</t>
  </si>
  <si>
    <t>Plato redondo, pequeño</t>
  </si>
  <si>
    <t>Tenedor, pequeño</t>
  </si>
  <si>
    <t>Tenedor, grande</t>
  </si>
  <si>
    <t>Cuchara, pequeña</t>
  </si>
  <si>
    <t>Cuchara, grande</t>
  </si>
  <si>
    <t>Cuchillo para manteca, pequeño</t>
  </si>
  <si>
    <t>Cuchillo para manteca, grande</t>
  </si>
  <si>
    <t>Mantel, 10x5</t>
  </si>
  <si>
    <t>Mantel, 8x5</t>
  </si>
  <si>
    <t>Mantel, 8x8</t>
  </si>
  <si>
    <t>Mantel, 6x6</t>
  </si>
  <si>
    <t>Mantel, 6x4</t>
  </si>
  <si>
    <t>Mantel, 4x4</t>
  </si>
  <si>
    <t>Mantel, 25 cm redondo</t>
  </si>
  <si>
    <t>Mantel, 20 cm redondo</t>
  </si>
  <si>
    <t>Mantel, 15 cm redondo</t>
  </si>
  <si>
    <t xml:space="preserve">Monto de las ventas </t>
  </si>
  <si>
    <t>Impuesto a las ventas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</si>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</sst>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&quot;$&quot;#,##0.00"/>
    <numFmt numFmtId="165" formatCode="[$-409]h:mm\ AM/PM;@"/>
    <numFmt numFmtId="166" formatCode="#,##0.00\ &quot;€&quot;"/>
    <numFmt numFmtId="167" formatCode="h:mm;@"/>
  </numFmts>
  <fonts count="2" x14ac:knownFonts="1">
    <font>
      <sz val="10"/>
      <color theme="1" tint="0.24994659260841701"/>
      <name val="Trebuchet MS"/>
      <family val="2"/>
      <scheme val="minor"/>
    </font>
    <font>
      <b/>
      <sz val="28"/>
      <color theme="6"/>
      <name val="Trebuchet MS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AEAEA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/>
      <diagonal/>
    </border>
  </borders>
  <cellStyleXfs count="2">
    <xf numFmtId="0" fontId="0" fillId="3" borderId="0">
      <alignment vertical="center"/>
    </xf>
    <xf numFmtId="0" fontId="1" fillId="3" borderId="0" applyNumberFormat="0" applyProtection="0">
      <alignment vertical="center"/>
    </xf>
  </cellStyleXfs>
  <cellXfs count="43">
    <xf numFmtId="0" fontId="0" fillId="3" borderId="0" xfId="0">
      <alignment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0" fillId="2" borderId="0" xfId="0" applyFill="1" applyAlignment="1">
      <alignment horizontal="left" vertical="center" indent="6"/>
    </xf>
    <xf numFmtId="0" fontId="0" fillId="0" borderId="0" xfId="0" applyFont="1" applyFill="1" applyBorder="1" applyAlignment="1">
      <alignment vertical="center" wrapText="1"/>
    </xf>
    <xf numFmtId="0" fontId="0" fillId="0" borderId="0" xfId="0" applyFill="1" applyAlignment="1">
      <alignment vertical="center"/>
    </xf>
    <xf numFmtId="0" fontId="0" fillId="3" borderId="0" xfId="0" applyAlignment="1">
      <alignment vertical="center"/>
    </xf>
    <xf numFmtId="0" fontId="0" fillId="3" borderId="0" xfId="0" applyBorder="1">
      <alignment vertical="center"/>
    </xf>
    <xf numFmtId="0" fontId="1" fillId="3" borderId="0" xfId="1" applyBorder="1">
      <alignment vertical="center"/>
    </xf>
    <xf numFmtId="0" fontId="0" fillId="0" borderId="0" xfId="0" applyFill="1" applyBorder="1">
      <alignment vertical="center"/>
    </xf>
    <xf numFmtId="0" fontId="0" fillId="2" borderId="0" xfId="0" applyFill="1" applyBorder="1">
      <alignment vertical="center"/>
    </xf>
    <xf numFmtId="0" fontId="0" fillId="2" borderId="0" xfId="0" applyFill="1" applyAlignment="1">
      <alignment vertical="center"/>
    </xf>
    <xf numFmtId="0" fontId="0" fillId="0" borderId="0" xfId="0" applyNumberFormat="1" applyFill="1" applyAlignment="1">
      <alignment horizontal="left" vertical="center"/>
    </xf>
    <xf numFmtId="0" fontId="0" fillId="0" borderId="0" xfId="0" applyNumberFormat="1" applyFont="1" applyFill="1" applyBorder="1" applyAlignment="1">
      <alignment horizontal="left" vertical="center" wrapText="1" indent="2"/>
    </xf>
    <xf numFmtId="0" fontId="0" fillId="0" borderId="0" xfId="0" applyNumberFormat="1" applyFont="1" applyFill="1" applyBorder="1" applyAlignment="1">
      <alignment horizontal="left" vertical="center" indent="2"/>
    </xf>
    <xf numFmtId="0" fontId="0" fillId="0" borderId="0" xfId="0" applyFont="1" applyFill="1" applyBorder="1">
      <alignment vertical="center"/>
    </xf>
    <xf numFmtId="0" fontId="0" fillId="0" borderId="0" xfId="0" applyFill="1" applyAlignment="1">
      <alignment horizontal="left" vertical="center" indent="6"/>
    </xf>
    <xf numFmtId="0" fontId="0" fillId="0" borderId="0" xfId="0" applyFill="1" applyAlignment="1">
      <alignment horizontal="left" vertical="center"/>
    </xf>
    <xf numFmtId="0" fontId="0" fillId="0" borderId="0" xfId="0" applyFill="1" applyAlignment="1">
      <alignment horizontal="right" vertical="center"/>
    </xf>
    <xf numFmtId="14" fontId="0" fillId="0" borderId="0" xfId="0" applyNumberFormat="1" applyFill="1" applyAlignment="1">
      <alignment horizontal="left" vertical="center"/>
    </xf>
    <xf numFmtId="0" fontId="0" fillId="3" borderId="0" xfId="0" applyFill="1">
      <alignment vertical="center"/>
    </xf>
    <xf numFmtId="0" fontId="1" fillId="3" borderId="0" xfId="1" applyFill="1">
      <alignment vertical="center"/>
    </xf>
    <xf numFmtId="0" fontId="0" fillId="2" borderId="0" xfId="0" applyNumberFormat="1" applyFill="1" applyBorder="1" applyAlignment="1">
      <alignment horizontal="left" vertical="center"/>
    </xf>
    <xf numFmtId="0" fontId="0" fillId="3" borderId="0" xfId="0" applyFill="1" applyAlignment="1">
      <alignment horizontal="left" vertical="center" indent="6"/>
    </xf>
    <xf numFmtId="0" fontId="0" fillId="3" borderId="0" xfId="0" applyFill="1" applyAlignment="1">
      <alignment vertical="center"/>
    </xf>
    <xf numFmtId="0" fontId="1" fillId="3" borderId="0" xfId="1" applyFill="1" applyAlignment="1">
      <alignment horizontal="left" vertical="center"/>
    </xf>
    <xf numFmtId="0" fontId="0" fillId="3" borderId="0" xfId="0" applyFill="1" applyBorder="1" applyAlignment="1">
      <alignment horizontal="left" vertical="center" indent="6"/>
    </xf>
    <xf numFmtId="0" fontId="0" fillId="3" borderId="0" xfId="0" applyFont="1" applyFill="1" applyBorder="1" applyAlignment="1">
      <alignment horizontal="left" vertical="center" wrapText="1" indent="1"/>
    </xf>
    <xf numFmtId="0" fontId="0" fillId="3" borderId="0" xfId="0" applyFont="1" applyFill="1" applyBorder="1" applyAlignment="1">
      <alignment vertical="center" wrapText="1"/>
    </xf>
    <xf numFmtId="0" fontId="0" fillId="3" borderId="0" xfId="0" applyFont="1" applyFill="1" applyBorder="1" applyAlignment="1">
      <alignment horizontal="right" vertical="center" indent="2"/>
    </xf>
    <xf numFmtId="14" fontId="0" fillId="3" borderId="0" xfId="0" applyNumberFormat="1" applyFont="1" applyFill="1" applyBorder="1" applyAlignment="1">
      <alignment horizontal="left" vertical="center" indent="1"/>
    </xf>
    <xf numFmtId="0" fontId="0" fillId="3" borderId="0" xfId="0" applyFont="1" applyFill="1" applyBorder="1" applyAlignment="1">
      <alignment horizontal="left" vertical="center"/>
    </xf>
    <xf numFmtId="49" fontId="0" fillId="3" borderId="0" xfId="0" applyNumberFormat="1" applyFont="1" applyFill="1" applyBorder="1" applyAlignment="1">
      <alignment horizontal="left" vertical="center"/>
    </xf>
    <xf numFmtId="10" fontId="0" fillId="3" borderId="0" xfId="0" applyNumberFormat="1" applyFont="1" applyFill="1" applyBorder="1" applyAlignment="1">
      <alignment horizontal="right" vertical="center" indent="2"/>
    </xf>
    <xf numFmtId="0" fontId="0" fillId="3" borderId="0" xfId="0" applyNumberFormat="1" applyFont="1" applyFill="1" applyBorder="1" applyAlignment="1">
      <alignment horizontal="left" vertical="center"/>
    </xf>
    <xf numFmtId="14" fontId="0" fillId="0" borderId="0" xfId="0" applyNumberFormat="1" applyFill="1">
      <alignment vertical="center"/>
    </xf>
    <xf numFmtId="166" fontId="0" fillId="0" borderId="0" xfId="0" applyNumberFormat="1" applyFill="1">
      <alignment vertical="center"/>
    </xf>
    <xf numFmtId="166" fontId="0" fillId="4" borderId="2" xfId="0" applyNumberFormat="1" applyFill="1" applyBorder="1">
      <alignment vertical="center"/>
    </xf>
    <xf numFmtId="166" fontId="0" fillId="4" borderId="1" xfId="0" applyNumberFormat="1" applyFill="1" applyBorder="1">
      <alignment vertical="center"/>
    </xf>
    <xf numFmtId="166" fontId="0" fillId="4" borderId="3" xfId="0" applyNumberFormat="1" applyFill="1" applyBorder="1">
      <alignment vertical="center"/>
    </xf>
    <xf numFmtId="166" fontId="0" fillId="3" borderId="0" xfId="0" applyNumberFormat="1" applyFont="1" applyFill="1" applyBorder="1" applyAlignment="1">
      <alignment horizontal="right" vertical="center" indent="2"/>
    </xf>
    <xf numFmtId="166" fontId="0" fillId="4" borderId="0" xfId="0" applyNumberFormat="1" applyFont="1" applyFill="1" applyBorder="1" applyAlignment="1">
      <alignment horizontal="right" vertical="center" indent="2"/>
    </xf>
    <xf numFmtId="167" fontId="0" fillId="3" borderId="0" xfId="0" applyNumberFormat="1" applyFont="1" applyFill="1" applyBorder="1" applyAlignment="1">
      <alignment horizontal="left" vertical="center"/>
    </xf>
  </cellXfs>
  <cellStyles count="2">
    <cellStyle name="Encabezado 1" xfId="1" builtinId="16" customBuiltin="1"/>
    <cellStyle name="Normal" xfId="0" builtinId="0" customBuiltin="1"/>
  </cellStyles>
  <dxfs count="56">
    <dxf>
      <alignment horizontal="left" readingOrder="0"/>
    </dxf>
    <dxf>
      <alignment horizontal="left" readingOrder="0"/>
    </dxf>
    <dxf>
      <alignment horizontal="left" readingOrder="0"/>
    </dxf>
    <dxf>
      <alignment horizontal="right" readingOrder="0"/>
    </dxf>
    <dxf>
      <alignment horizontal="right" readingOrder="0"/>
    </dxf>
    <dxf>
      <alignment horizontal="left" readingOrder="0"/>
    </dxf>
    <dxf>
      <fill>
        <patternFill patternType="none">
          <bgColor auto="1"/>
        </patternFill>
      </fill>
    </dxf>
    <dxf>
      <fill>
        <patternFill patternType="solid">
          <bgColor theme="0" tint="-0.14999847407452621"/>
        </patternFill>
      </fill>
    </dxf>
    <dxf>
      <border>
        <horizontal style="thin">
          <color theme="0" tint="-4.9989318521683403E-2"/>
        </horizontal>
      </border>
    </dxf>
    <dxf>
      <fill>
        <patternFill>
          <bgColor rgb="FFEAEAEA"/>
        </patternFill>
      </fill>
    </dxf>
    <dxf>
      <numFmt numFmtId="166" formatCode="#,##0.00\ &quot;€&quot;"/>
    </dxf>
    <dxf>
      <numFmt numFmtId="166" formatCode="#,##0.00\ &quot;€&quot;"/>
    </dxf>
    <dxf>
      <numFmt numFmtId="166" formatCode="#,##0.00\ &quot;€&quot;"/>
    </dxf>
    <dxf>
      <numFmt numFmtId="0" formatCode="General"/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bgColor auto="1"/>
        </patternFill>
      </fill>
      <alignment horizontal="left" vertical="center" textRotation="0" wrapText="0" indent="2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  <alignment vertical="center" textRotation="0" wrapText="1" indent="0" justifyLastLine="0" shrinkToFit="0" readingOrder="0"/>
    </dxf>
    <dxf>
      <numFmt numFmtId="166" formatCode="#,##0.00\ &quot;€&quot;"/>
    </dxf>
    <dxf>
      <numFmt numFmtId="166" formatCode="#,##0.00\ &quot;€&quot;"/>
    </dxf>
    <dxf>
      <numFmt numFmtId="166" formatCode="#,##0.00\ &quot;€&quot;"/>
    </dxf>
    <dxf>
      <fill>
        <patternFill>
          <bgColor rgb="FFEAEAEA"/>
        </patternFill>
      </fill>
    </dxf>
    <dxf>
      <border>
        <horizontal style="thin">
          <color theme="0" tint="-4.9989318521683403E-2"/>
        </horizontal>
      </border>
    </dxf>
    <dxf>
      <fill>
        <patternFill patternType="solid">
          <bgColor theme="0" tint="-0.14999847407452621"/>
        </patternFill>
      </fill>
    </dxf>
    <dxf>
      <fill>
        <patternFill patternType="none">
          <bgColor auto="1"/>
        </patternFill>
      </fill>
    </dxf>
    <dxf>
      <alignment horizontal="left" readingOrder="0"/>
    </dxf>
    <dxf>
      <alignment horizontal="right" readingOrder="0"/>
    </dxf>
    <dxf>
      <alignment horizontal="right" readingOrder="0"/>
    </dxf>
    <dxf>
      <alignment horizontal="left" readingOrder="0"/>
    </dxf>
    <dxf>
      <alignment horizontal="left" readingOrder="0"/>
    </dxf>
    <dxf>
      <alignment horizontal="left" readingOrder="0"/>
    </dxf>
    <dxf>
      <border>
        <bottom style="thin">
          <color theme="0" tint="-0.14996795556505021"/>
        </bottom>
        <vertical/>
        <horizontal/>
      </border>
    </dxf>
    <dxf>
      <border>
        <bottom style="thin">
          <color theme="0" tint="-0.14996795556505021"/>
        </bottom>
        <vertical/>
        <horizontal/>
      </border>
    </dxf>
    <dxf>
      <font>
        <b/>
        <i val="0"/>
        <color theme="5"/>
      </font>
      <fill>
        <patternFill>
          <bgColor theme="0" tint="-4.9989318521683403E-2"/>
        </patternFill>
      </fill>
    </dxf>
    <dxf>
      <font>
        <b val="0"/>
        <i val="0"/>
        <color theme="5"/>
      </font>
      <fill>
        <patternFill>
          <bgColor theme="0" tint="-4.9989318521683403E-2"/>
        </patternFill>
      </fill>
    </dxf>
    <dxf>
      <fill>
        <patternFill patternType="solid">
          <fgColor indexed="64"/>
          <bgColor rgb="FFEAEAEA"/>
        </patternFill>
      </fill>
    </dxf>
    <dxf>
      <fill>
        <patternFill patternType="solid">
          <fgColor indexed="64"/>
          <bgColor rgb="FFEAEAEA"/>
        </patternFill>
      </fill>
    </dxf>
    <dxf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</dxf>
    <dxf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h:mm;@"/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EAEAEA"/>
        </patternFill>
      </fill>
    </dxf>
    <dxf>
      <fill>
        <patternFill>
          <bgColor theme="0"/>
        </patternFill>
      </fill>
    </dxf>
    <dxf>
      <font>
        <b/>
        <i val="0"/>
        <color theme="1" tint="0.24994659260841701"/>
      </font>
      <fill>
        <patternFill patternType="solid">
          <fgColor theme="4" tint="0.79992065187536243"/>
          <bgColor theme="0"/>
        </patternFill>
      </fill>
      <border diagonalUp="0" diagonalDown="0">
        <left/>
        <right/>
        <top style="medium">
          <color theme="3" tint="0.39988402966399123"/>
        </top>
        <bottom/>
        <vertical/>
        <horizontal/>
      </border>
    </dxf>
    <dxf>
      <font>
        <b val="0"/>
        <i val="0"/>
        <color theme="5"/>
      </font>
      <fill>
        <patternFill patternType="solid">
          <fgColor theme="4" tint="0.79995117038483843"/>
          <bgColor theme="0"/>
        </patternFill>
      </fill>
      <border diagonalUp="0" diagonalDown="0">
        <left/>
        <right/>
        <top/>
        <bottom style="medium">
          <color theme="3" tint="0.39994506668294322"/>
        </bottom>
        <vertical/>
        <horizontal/>
      </border>
    </dxf>
    <dxf>
      <fill>
        <patternFill>
          <bgColor theme="0"/>
        </patternFill>
      </fill>
      <border>
        <horizontal style="thin">
          <color theme="0" tint="-4.9989318521683403E-2"/>
        </horizontal>
      </border>
    </dxf>
    <dxf>
      <font>
        <b/>
        <i val="0"/>
        <color theme="6"/>
      </font>
      <fill>
        <patternFill patternType="solid">
          <bgColor rgb="FFEAEAEA"/>
        </patternFill>
      </fill>
      <border>
        <vertical/>
        <horizontal style="thin">
          <color theme="0" tint="-4.9989318521683403E-2"/>
        </horizontal>
      </border>
    </dxf>
    <dxf>
      <font>
        <b val="0"/>
        <i val="0"/>
        <color theme="1" tint="0.24994659260841701"/>
      </font>
      <fill>
        <patternFill patternType="solid">
          <bgColor theme="0"/>
        </patternFill>
      </fill>
      <border diagonalUp="0" diagonalDown="0">
        <left/>
        <right/>
        <top style="double">
          <color theme="1" tint="0.24994659260841701"/>
        </top>
        <bottom/>
        <vertical/>
        <horizontal/>
      </border>
    </dxf>
    <dxf>
      <font>
        <b val="0"/>
        <i val="0"/>
        <color theme="6"/>
      </font>
      <fill>
        <patternFill patternType="solid">
          <bgColor theme="0"/>
        </patternFill>
      </fill>
      <border diagonalUp="0" diagonalDown="0">
        <left/>
        <right/>
        <top/>
        <bottom style="medium">
          <color theme="3" tint="0.39994506668294322"/>
        </bottom>
        <vertical/>
        <horizontal/>
      </border>
    </dxf>
    <dxf>
      <font>
        <b val="0"/>
        <i val="0"/>
        <color theme="1" tint="0.24994659260841701"/>
      </font>
      <fill>
        <patternFill patternType="solid">
          <bgColor theme="0"/>
        </patternFill>
      </fill>
      <border diagonalUp="0" diagonalDown="0">
        <left/>
        <right/>
        <top/>
        <bottom style="medium">
          <color theme="3" tint="0.39994506668294322"/>
        </bottom>
        <vertical/>
        <horizontal style="thin">
          <color theme="0" tint="-4.9989318521683403E-2"/>
        </horizontal>
      </border>
    </dxf>
  </dxfs>
  <tableStyles count="2" defaultTableStyle="Cash Register Sales" defaultPivotStyle="Sales Report">
    <tableStyle name="Cash Register Sales" pivot="0" count="4">
      <tableStyleElement type="wholeTable" dxfId="55"/>
      <tableStyleElement type="headerRow" dxfId="54"/>
      <tableStyleElement type="totalRow" dxfId="53"/>
      <tableStyleElement type="lastColumn" dxfId="52"/>
    </tableStyle>
    <tableStyle name="Sales Report" table="0" count="8">
      <tableStyleElement type="wholeTable" dxfId="51"/>
      <tableStyleElement type="headerRow" dxfId="50"/>
      <tableStyleElement type="totalRow" dxfId="49"/>
      <tableStyleElement type="firstColumnSubheading" dxfId="48"/>
      <tableStyleElement type="secondColumnSubheading" dxfId="47"/>
      <tableStyleElement type="firstRowSubheading" dxfId="46"/>
      <tableStyleElement type="secondRowSubheading" dxfId="45"/>
      <tableStyleElement type="thirdRowSubheading" dxfId="44"/>
    </tableStyle>
  </tableStyles>
  <colors>
    <mruColors>
      <color rgb="FFEAEAEA"/>
      <color rgb="FFE6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Inventario!A1"/><Relationship Id="rId1" Type="http://schemas.openxmlformats.org/officeDocument/2006/relationships/hyperlink" Target="#'Informe de ventas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Inventario!A1"/><Relationship Id="rId1" Type="http://schemas.openxmlformats.org/officeDocument/2006/relationships/hyperlink" Target="#'Datos de ventas'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'Datos de ventas'!A1"/><Relationship Id="rId1" Type="http://schemas.openxmlformats.org/officeDocument/2006/relationships/hyperlink" Target="#'Informe de ventas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713019</xdr:colOff>
      <xdr:row>2</xdr:row>
      <xdr:rowOff>204037</xdr:rowOff>
    </xdr:from>
    <xdr:to>
      <xdr:col>4</xdr:col>
      <xdr:colOff>169068</xdr:colOff>
      <xdr:row>5</xdr:row>
      <xdr:rowOff>599</xdr:rowOff>
    </xdr:to>
    <xdr:sp macro="" textlink="">
      <xdr:nvSpPr>
        <xdr:cNvPr id="8" name="Informe de ventas">
          <a:hlinkClick xmlns:r="http://schemas.openxmlformats.org/officeDocument/2006/relationships" r:id="rId1" tooltip="Haga clic para ver el Informe de ventas"/>
        </xdr:cNvPr>
        <xdr:cNvSpPr/>
      </xdr:nvSpPr>
      <xdr:spPr>
        <a:xfrm>
          <a:off x="2008419" y="851737"/>
          <a:ext cx="1970649" cy="43473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INFORME DE VENTAS</a:t>
          </a:r>
        </a:p>
      </xdr:txBody>
    </xdr:sp>
    <xdr:clientData fPrintsWithSheet="0"/>
  </xdr:twoCellAnchor>
  <xdr:twoCellAnchor>
    <xdr:from>
      <xdr:col>4</xdr:col>
      <xdr:colOff>220102</xdr:colOff>
      <xdr:row>2</xdr:row>
      <xdr:rowOff>204037</xdr:rowOff>
    </xdr:from>
    <xdr:to>
      <xdr:col>5</xdr:col>
      <xdr:colOff>104775</xdr:colOff>
      <xdr:row>5</xdr:row>
      <xdr:rowOff>599</xdr:rowOff>
    </xdr:to>
    <xdr:sp macro="" textlink="">
      <xdr:nvSpPr>
        <xdr:cNvPr id="13" name="Inventario">
          <a:hlinkClick xmlns:r="http://schemas.openxmlformats.org/officeDocument/2006/relationships" r:id="rId2" tooltip="Haga clic para ver el inventario"/>
        </xdr:cNvPr>
        <xdr:cNvSpPr/>
      </xdr:nvSpPr>
      <xdr:spPr>
        <a:xfrm>
          <a:off x="4030102" y="851737"/>
          <a:ext cx="1427723" cy="434737"/>
        </a:xfrm>
        <a:prstGeom prst="rec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INVENTARIO</a:t>
          </a:r>
        </a:p>
      </xdr:txBody>
    </xdr:sp>
    <xdr:clientData fPrintsWithSheet="0"/>
  </xdr:twoCellAnchor>
  <xdr:twoCellAnchor>
    <xdr:from>
      <xdr:col>1</xdr:col>
      <xdr:colOff>713</xdr:colOff>
      <xdr:row>2</xdr:row>
      <xdr:rowOff>214487</xdr:rowOff>
    </xdr:from>
    <xdr:to>
      <xdr:col>2</xdr:col>
      <xdr:colOff>666750</xdr:colOff>
      <xdr:row>5</xdr:row>
      <xdr:rowOff>12452</xdr:rowOff>
    </xdr:to>
    <xdr:grpSp>
      <xdr:nvGrpSpPr>
        <xdr:cNvPr id="2" name="Datos de ventas"/>
        <xdr:cNvGrpSpPr/>
      </xdr:nvGrpSpPr>
      <xdr:grpSpPr>
        <a:xfrm>
          <a:off x="219788" y="862187"/>
          <a:ext cx="1742362" cy="436140"/>
          <a:chOff x="219786" y="862186"/>
          <a:chExt cx="1466258" cy="436810"/>
        </a:xfrm>
        <a:effectLst>
          <a:outerShdw blurRad="50800" dist="25400" dir="17400000" rotWithShape="0">
            <a:schemeClr val="bg1">
              <a:lumMod val="65000"/>
              <a:alpha val="40000"/>
            </a:schemeClr>
          </a:outerShdw>
        </a:effectLst>
      </xdr:grpSpPr>
      <xdr:sp macro="" textlink="">
        <xdr:nvSpPr>
          <xdr:cNvPr id="23" name="Rectángulo 22"/>
          <xdr:cNvSpPr/>
        </xdr:nvSpPr>
        <xdr:spPr>
          <a:xfrm>
            <a:off x="222404" y="862186"/>
            <a:ext cx="1463640" cy="43681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>
              <a:schemeClr val="accent1">
                <a:alpha val="40000"/>
              </a:schemeClr>
            </a:glow>
            <a:softEdge rad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400" b="1">
                <a:solidFill>
                  <a:schemeClr val="accent3"/>
                </a:solidFill>
                <a:latin typeface="+mn-lt"/>
                <a:ea typeface="+mn-ea"/>
                <a:cs typeface="+mn-cs"/>
              </a:rPr>
              <a:t>DATOS DE VENTAS</a:t>
            </a:r>
          </a:p>
        </xdr:txBody>
      </xdr:sp>
      <xdr:cxnSp macro="">
        <xdr:nvCxnSpPr>
          <xdr:cNvPr id="24" name="Conector recto" descr="Línea" title="Línea"/>
          <xdr:cNvCxnSpPr/>
        </xdr:nvCxnSpPr>
        <xdr:spPr>
          <a:xfrm>
            <a:off x="219786" y="862187"/>
            <a:ext cx="1463640" cy="2636"/>
          </a:xfrm>
          <a:prstGeom prst="line">
            <a:avLst/>
          </a:prstGeom>
          <a:solidFill>
            <a:schemeClr val="bg1"/>
          </a:solidFill>
          <a:ln w="28575">
            <a:solidFill>
              <a:schemeClr val="accent3"/>
            </a:solidFill>
          </a:ln>
          <a:effectLst/>
          <a:scene3d>
            <a:camera prst="orthographicFront">
              <a:rot lat="0" lon="0" rev="0"/>
            </a:camera>
            <a:lightRig rig="threePt" dir="t"/>
          </a:scene3d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1</xdr:row>
      <xdr:rowOff>9525</xdr:rowOff>
    </xdr:from>
    <xdr:to>
      <xdr:col>10</xdr:col>
      <xdr:colOff>238125</xdr:colOff>
      <xdr:row>4</xdr:row>
      <xdr:rowOff>0</xdr:rowOff>
    </xdr:to>
    <xdr:sp macro="" textlink="">
      <xdr:nvSpPr>
        <xdr:cNvPr id="9" name="Sugerencia de plantilla" descr="Para actualizar el Informe de ventas, haga clic con el botón secundario en PivotTable a continuación y luego en Actualizar." title="SUGERENCIA"/>
        <xdr:cNvSpPr/>
      </xdr:nvSpPr>
      <xdr:spPr>
        <a:xfrm>
          <a:off x="8905875" y="200025"/>
          <a:ext cx="1990725" cy="866775"/>
        </a:xfrm>
        <a:prstGeom prst="wedgeRectCallout">
          <a:avLst>
            <a:gd name="adj1" fmla="val -106957"/>
            <a:gd name="adj2" fmla="val 73257"/>
          </a:avLst>
        </a:prstGeom>
        <a:solidFill>
          <a:schemeClr val="bg1"/>
        </a:solidFill>
        <a:ln w="12700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>
              <a:solidFill>
                <a:schemeClr val="tx1">
                  <a:lumMod val="75000"/>
                  <a:lumOff val="25000"/>
                </a:schemeClr>
              </a:solidFill>
            </a:rPr>
            <a:t>SUGERENCIA: Para actualizar el Informe de ventas, haga clic con el botón secundario en PivotTable a continuación y luego en </a:t>
          </a:r>
          <a:r>
            <a:rPr lang="en-US" sz="1000" b="1">
              <a:solidFill>
                <a:schemeClr val="tx1">
                  <a:lumMod val="75000"/>
                  <a:lumOff val="25000"/>
                </a:schemeClr>
              </a:solidFill>
            </a:rPr>
            <a:t>Actualizar</a:t>
          </a:r>
          <a:r>
            <a:rPr lang="en-US" sz="1000">
              <a:solidFill>
                <a:schemeClr val="tx1">
                  <a:lumMod val="75000"/>
                  <a:lumOff val="25000"/>
                </a:schemeClr>
              </a:solidFill>
            </a:rPr>
            <a:t>.</a:t>
          </a:r>
        </a:p>
      </xdr:txBody>
    </xdr:sp>
    <xdr:clientData fPrintsWithSheet="0"/>
  </xdr:twoCellAnchor>
  <xdr:twoCellAnchor>
    <xdr:from>
      <xdr:col>0</xdr:col>
      <xdr:colOff>217007</xdr:colOff>
      <xdr:row>2</xdr:row>
      <xdr:rowOff>190500</xdr:rowOff>
    </xdr:from>
    <xdr:to>
      <xdr:col>1</xdr:col>
      <xdr:colOff>1714500</xdr:colOff>
      <xdr:row>4</xdr:row>
      <xdr:rowOff>206137</xdr:rowOff>
    </xdr:to>
    <xdr:sp macro="" textlink="">
      <xdr:nvSpPr>
        <xdr:cNvPr id="8" name="Datos de ventas">
          <a:hlinkClick xmlns:r="http://schemas.openxmlformats.org/officeDocument/2006/relationships" r:id="rId1" tooltip="Haga clic para ver la Información de ventas"/>
        </xdr:cNvPr>
        <xdr:cNvSpPr/>
      </xdr:nvSpPr>
      <xdr:spPr>
        <a:xfrm>
          <a:off x="217007" y="838200"/>
          <a:ext cx="1716568" cy="434737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>
              <a:solidFill>
                <a:schemeClr val="bg1"/>
              </a:solidFill>
              <a:latin typeface="+mn-lt"/>
              <a:ea typeface="+mn-ea"/>
              <a:cs typeface="+mn-cs"/>
            </a:rPr>
            <a:t>DATOS DE VENTAS</a:t>
          </a:r>
        </a:p>
      </xdr:txBody>
    </xdr:sp>
    <xdr:clientData fPrintsWithSheet="0"/>
  </xdr:twoCellAnchor>
  <xdr:twoCellAnchor>
    <xdr:from>
      <xdr:col>2</xdr:col>
      <xdr:colOff>1810064</xdr:colOff>
      <xdr:row>2</xdr:row>
      <xdr:rowOff>190500</xdr:rowOff>
    </xdr:from>
    <xdr:to>
      <xdr:col>4</xdr:col>
      <xdr:colOff>57463</xdr:colOff>
      <xdr:row>4</xdr:row>
      <xdr:rowOff>206137</xdr:rowOff>
    </xdr:to>
    <xdr:sp macro="" textlink="">
      <xdr:nvSpPr>
        <xdr:cNvPr id="10" name="Inventario">
          <a:hlinkClick xmlns:r="http://schemas.openxmlformats.org/officeDocument/2006/relationships" r:id="rId2" tooltip="Haga clic para ver el inventario"/>
        </xdr:cNvPr>
        <xdr:cNvSpPr/>
      </xdr:nvSpPr>
      <xdr:spPr>
        <a:xfrm>
          <a:off x="3943664" y="838200"/>
          <a:ext cx="1466849" cy="434737"/>
        </a:xfrm>
        <a:prstGeom prst="rec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>
              <a:solidFill>
                <a:schemeClr val="bg1"/>
              </a:solidFill>
              <a:latin typeface="+mn-lt"/>
              <a:ea typeface="+mn-ea"/>
              <a:cs typeface="+mn-cs"/>
            </a:rPr>
            <a:t>INVENTARIO</a:t>
          </a:r>
        </a:p>
      </xdr:txBody>
    </xdr:sp>
    <xdr:clientData fPrintsWithSheet="0"/>
  </xdr:twoCellAnchor>
  <xdr:twoCellAnchor>
    <xdr:from>
      <xdr:col>1</xdr:col>
      <xdr:colOff>1762125</xdr:colOff>
      <xdr:row>2</xdr:row>
      <xdr:rowOff>200951</xdr:rowOff>
    </xdr:from>
    <xdr:to>
      <xdr:col>2</xdr:col>
      <xdr:colOff>1762125</xdr:colOff>
      <xdr:row>4</xdr:row>
      <xdr:rowOff>217991</xdr:rowOff>
    </xdr:to>
    <xdr:grpSp>
      <xdr:nvGrpSpPr>
        <xdr:cNvPr id="11" name="Informe de ventas"/>
        <xdr:cNvGrpSpPr/>
      </xdr:nvGrpSpPr>
      <xdr:grpSpPr>
        <a:xfrm>
          <a:off x="1981200" y="848651"/>
          <a:ext cx="1914525" cy="436140"/>
          <a:chOff x="219786" y="862187"/>
          <a:chExt cx="1466258" cy="436810"/>
        </a:xfrm>
        <a:effectLst>
          <a:outerShdw blurRad="50800" dist="25400" dir="17400000" rotWithShape="0">
            <a:schemeClr val="bg1">
              <a:lumMod val="65000"/>
              <a:alpha val="40000"/>
            </a:schemeClr>
          </a:outerShdw>
        </a:effectLst>
      </xdr:grpSpPr>
      <xdr:sp macro="" textlink="">
        <xdr:nvSpPr>
          <xdr:cNvPr id="12" name="Rectángulo 11"/>
          <xdr:cNvSpPr/>
        </xdr:nvSpPr>
        <xdr:spPr>
          <a:xfrm>
            <a:off x="222404" y="862187"/>
            <a:ext cx="1463640" cy="43681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>
              <a:schemeClr val="accent1">
                <a:alpha val="40000"/>
              </a:schemeClr>
            </a:glow>
            <a:softEdge rad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400" b="1">
                <a:solidFill>
                  <a:schemeClr val="accent2"/>
                </a:solidFill>
                <a:latin typeface="+mn-lt"/>
                <a:ea typeface="+mn-ea"/>
                <a:cs typeface="+mn-cs"/>
              </a:rPr>
              <a:t>INFORME DE VENTAS</a:t>
            </a:r>
          </a:p>
        </xdr:txBody>
      </xdr:sp>
      <xdr:cxnSp macro="">
        <xdr:nvCxnSpPr>
          <xdr:cNvPr id="13" name="Conector recto 12" descr="Línea" title="Línea"/>
          <xdr:cNvCxnSpPr/>
        </xdr:nvCxnSpPr>
        <xdr:spPr>
          <a:xfrm>
            <a:off x="219786" y="862187"/>
            <a:ext cx="1463640" cy="2636"/>
          </a:xfrm>
          <a:prstGeom prst="line">
            <a:avLst/>
          </a:prstGeom>
          <a:solidFill>
            <a:schemeClr val="bg1"/>
          </a:solidFill>
          <a:ln w="28575">
            <a:solidFill>
              <a:schemeClr val="accent2"/>
            </a:solidFill>
          </a:ln>
          <a:effectLst/>
          <a:scene3d>
            <a:camera prst="orthographicFront">
              <a:rot lat="0" lon="0" rev="0"/>
            </a:camera>
            <a:lightRig rig="threePt" dir="t"/>
          </a:scene3d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1788631</xdr:colOff>
      <xdr:row>2</xdr:row>
      <xdr:rowOff>200025</xdr:rowOff>
    </xdr:from>
    <xdr:to>
      <xdr:col>2</xdr:col>
      <xdr:colOff>1617971</xdr:colOff>
      <xdr:row>4</xdr:row>
      <xdr:rowOff>215662</xdr:rowOff>
    </xdr:to>
    <xdr:sp macro="" textlink="">
      <xdr:nvSpPr>
        <xdr:cNvPr id="11" name="Informe de ventas">
          <a:hlinkClick xmlns:r="http://schemas.openxmlformats.org/officeDocument/2006/relationships" r:id="rId1" tooltip="Haga clic para ver el Informe de ventas"/>
        </xdr:cNvPr>
        <xdr:cNvSpPr/>
      </xdr:nvSpPr>
      <xdr:spPr>
        <a:xfrm>
          <a:off x="2007706" y="847725"/>
          <a:ext cx="1953415" cy="43473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INFORME DE VENTAS</a:t>
          </a:r>
        </a:p>
      </xdr:txBody>
    </xdr:sp>
    <xdr:clientData fPrintsWithSheet="0"/>
  </xdr:twoCellAnchor>
  <xdr:twoCellAnchor>
    <xdr:from>
      <xdr:col>1</xdr:col>
      <xdr:colOff>314</xdr:colOff>
      <xdr:row>2</xdr:row>
      <xdr:rowOff>200025</xdr:rowOff>
    </xdr:from>
    <xdr:to>
      <xdr:col>1</xdr:col>
      <xdr:colOff>1762125</xdr:colOff>
      <xdr:row>4</xdr:row>
      <xdr:rowOff>215662</xdr:rowOff>
    </xdr:to>
    <xdr:sp macro="" textlink="">
      <xdr:nvSpPr>
        <xdr:cNvPr id="14" name="Inventario">
          <a:hlinkClick xmlns:r="http://schemas.openxmlformats.org/officeDocument/2006/relationships" r:id="rId2" tooltip="Haga clic para ver la Información de ventas"/>
        </xdr:cNvPr>
        <xdr:cNvSpPr/>
      </xdr:nvSpPr>
      <xdr:spPr>
        <a:xfrm>
          <a:off x="219389" y="847725"/>
          <a:ext cx="1761811" cy="434737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DATOS DE VENTAS</a:t>
          </a:r>
        </a:p>
      </xdr:txBody>
    </xdr:sp>
    <xdr:clientData fPrintsWithSheet="0"/>
  </xdr:twoCellAnchor>
  <xdr:twoCellAnchor>
    <xdr:from>
      <xdr:col>2</xdr:col>
      <xdr:colOff>1638301</xdr:colOff>
      <xdr:row>2</xdr:row>
      <xdr:rowOff>210476</xdr:rowOff>
    </xdr:from>
    <xdr:to>
      <xdr:col>3</xdr:col>
      <xdr:colOff>1</xdr:colOff>
      <xdr:row>5</xdr:row>
      <xdr:rowOff>8441</xdr:rowOff>
    </xdr:to>
    <xdr:grpSp>
      <xdr:nvGrpSpPr>
        <xdr:cNvPr id="17" name="Grupo 16"/>
        <xdr:cNvGrpSpPr/>
      </xdr:nvGrpSpPr>
      <xdr:grpSpPr>
        <a:xfrm>
          <a:off x="3981451" y="858176"/>
          <a:ext cx="1485900" cy="436140"/>
          <a:chOff x="219786" y="862187"/>
          <a:chExt cx="1466258" cy="436810"/>
        </a:xfrm>
        <a:effectLst>
          <a:outerShdw blurRad="50800" dist="25400" dir="17400000" rotWithShape="0">
            <a:schemeClr val="bg1">
              <a:lumMod val="65000"/>
              <a:alpha val="40000"/>
            </a:schemeClr>
          </a:outerShdw>
        </a:effectLst>
      </xdr:grpSpPr>
      <xdr:sp macro="" textlink="">
        <xdr:nvSpPr>
          <xdr:cNvPr id="18" name="Rectángulo 17"/>
          <xdr:cNvSpPr/>
        </xdr:nvSpPr>
        <xdr:spPr>
          <a:xfrm>
            <a:off x="222404" y="862187"/>
            <a:ext cx="1463640" cy="43681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>
              <a:schemeClr val="accent1">
                <a:alpha val="40000"/>
              </a:schemeClr>
            </a:glow>
            <a:softEdge rad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>
                <a:solidFill>
                  <a:schemeClr val="accent1"/>
                </a:solidFill>
              </a:rPr>
              <a:t>INVENTARIO</a:t>
            </a:r>
          </a:p>
        </xdr:txBody>
      </xdr:sp>
      <xdr:cxnSp macro="">
        <xdr:nvCxnSpPr>
          <xdr:cNvPr id="19" name="Conector recto 18" descr="Línea" title="Línea"/>
          <xdr:cNvCxnSpPr/>
        </xdr:nvCxnSpPr>
        <xdr:spPr>
          <a:xfrm>
            <a:off x="219786" y="862187"/>
            <a:ext cx="1463640" cy="2636"/>
          </a:xfrm>
          <a:prstGeom prst="line">
            <a:avLst/>
          </a:prstGeom>
          <a:solidFill>
            <a:schemeClr val="bg1"/>
          </a:solidFill>
          <a:ln w="28575">
            <a:solidFill>
              <a:schemeClr val="accent1"/>
            </a:solidFill>
          </a:ln>
          <a:effectLst/>
          <a:scene3d>
            <a:camera prst="orthographicFront">
              <a:rot lat="0" lon="0" rev="0"/>
            </a:camera>
            <a:lightRig rig="threePt" dir="t"/>
          </a:scene3d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tk2offfsm03\fileshares\TemplateGallery\matthos\7-27%20Hand-off%20templates\Daily%20cash%20register%20sales.xlt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Autor" refreshedDate="41065.761417476853" createdVersion="4" refreshedVersion="4" minRefreshableVersion="3" recordCount="5">
  <cacheSource type="worksheet">
    <worksheetSource name="tblSalesData" r:id="rId2"/>
  </cacheSource>
  <cacheFields count="9">
    <cacheField name="FECHA" numFmtId="14">
      <sharedItems containsSemiMixedTypes="0" containsNonDate="0" containsDate="1" containsString="0" minDate="2012-02-01T00:00:00" maxDate="2012-06-06T00:00:00" count="2">
        <d v="2012-02-01T00:00:00"/>
        <d v="2012-06-05T00:00:00" u="1"/>
      </sharedItems>
    </cacheField>
    <cacheField name="HORA" numFmtId="165">
      <sharedItems containsSemiMixedTypes="0" containsNonDate="0" containsDate="1" containsString="0" minDate="1899-12-30T10:30:00" maxDate="1899-12-30T11:45:00" count="5">
        <d v="1899-12-30T10:30:00"/>
        <d v="1899-12-30T10:33:00"/>
        <d v="1899-12-30T10:45:00"/>
        <d v="1899-12-30T10:55:00"/>
        <d v="1899-12-30T11:45:00"/>
      </sharedItems>
    </cacheField>
    <cacheField name="NÚMERO DE TRANSACCIÓN" numFmtId="0">
      <sharedItems containsSemiMixedTypes="0" containsString="0" containsNumber="1" containsInteger="1" minValue="1001" maxValue="1005"/>
    </cacheField>
    <cacheField name="SKU/NÚMERO DE PRODUCTO" numFmtId="49">
      <sharedItems containsSemiMixedTypes="0" containsString="0" containsNumber="1" containsInteger="1" minValue="90001" maxValue="90023" count="6">
        <n v="90001"/>
        <n v="90023"/>
        <n v="90005"/>
        <n v="90004"/>
        <n v="90002"/>
        <n v="90003" u="1"/>
      </sharedItems>
    </cacheField>
    <cacheField name="DESCRIPCIÓN" numFmtId="0">
      <sharedItems count="6">
        <s v="Frazada"/>
        <s v="Mantel, 15 cm redondo"/>
        <s v="Plato redondo"/>
        <s v="Plato cuadrado"/>
        <s v="Almohada"/>
        <s v="Sheets" u="1"/>
      </sharedItems>
    </cacheField>
    <cacheField name="MONTO DE LAS VENTAS " numFmtId="164">
      <sharedItems containsSemiMixedTypes="0" containsString="0" containsNumber="1" minValue="2.95" maxValue="74.95"/>
    </cacheField>
    <cacheField name="% DE IMPUESTO" numFmtId="10">
      <sharedItems containsSemiMixedTypes="0" containsString="0" containsNumber="1" minValue="0.05" maxValue="0.05" count="1">
        <n v="0.05"/>
      </sharedItems>
    </cacheField>
    <cacheField name="IMPUESTO A LAS VENTAS" numFmtId="164">
      <sharedItems containsSemiMixedTypes="0" containsString="0" containsNumber="1" minValue="0.14750000000000002" maxValue="3.7475000000000005" count="5">
        <n v="3.7475000000000005"/>
        <n v="1.7495000000000003"/>
        <n v="2.7975000000000003"/>
        <n v="0.14750000000000002"/>
        <n v="0.74900000000000011"/>
      </sharedItems>
    </cacheField>
    <cacheField name="TOTAL" numFmtId="164">
      <sharedItems containsSemiMixedTypes="0" containsString="0" containsNumber="1" minValue="3.0975000000000001" maxValue="78.6975000000000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">
  <r>
    <x v="0"/>
    <x v="0"/>
    <n v="1001"/>
    <x v="0"/>
    <x v="0"/>
    <n v="74.95"/>
    <x v="0"/>
    <x v="0"/>
    <n v="78.697500000000005"/>
  </r>
  <r>
    <x v="0"/>
    <x v="1"/>
    <n v="1002"/>
    <x v="1"/>
    <x v="1"/>
    <n v="34.99"/>
    <x v="0"/>
    <x v="1"/>
    <n v="36.7395"/>
  </r>
  <r>
    <x v="0"/>
    <x v="2"/>
    <n v="1003"/>
    <x v="2"/>
    <x v="2"/>
    <n v="55.95"/>
    <x v="0"/>
    <x v="2"/>
    <n v="58.747500000000002"/>
  </r>
  <r>
    <x v="0"/>
    <x v="3"/>
    <n v="1004"/>
    <x v="3"/>
    <x v="3"/>
    <n v="2.95"/>
    <x v="0"/>
    <x v="3"/>
    <n v="3.0975000000000001"/>
  </r>
  <r>
    <x v="0"/>
    <x v="4"/>
    <n v="1005"/>
    <x v="4"/>
    <x v="4"/>
    <n v="14.98"/>
    <x v="0"/>
    <x v="4"/>
    <n v="15.7290000000000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tSalesReport" cacheId="0" applyNumberFormats="0" applyBorderFormats="0" applyFontFormats="0" applyPatternFormats="0" applyAlignmentFormats="0" applyWidthHeightFormats="1" dataCaption="Values" grandTotalCaption="Total" updatedVersion="5" minRefreshableVersion="3" showDrill="0" itemPrintTitles="1" createdVersion="4" indent="0" compact="0" compactData="0" multipleFieldFilters="0">
  <location ref="B8:G14" firstHeaderRow="0" firstDataRow="1" firstDataCol="3"/>
  <pivotFields count="9">
    <pivotField name="FECHA" axis="axisRow" compact="0" numFmtId="14" outline="0" showAll="0" defaultSubtotal="0">
      <items count="2">
        <item x="0"/>
        <item m="1" x="1"/>
      </items>
    </pivotField>
    <pivotField name="HORA" compact="0" numFmtId="18" outline="0" showAll="0" defaultSubtotal="0">
      <items count="5">
        <item x="0"/>
        <item x="1"/>
        <item x="2"/>
        <item x="3"/>
        <item x="4"/>
      </items>
    </pivotField>
    <pivotField compact="0" outline="0" showAll="0" defaultSubtotal="0"/>
    <pivotField name="SKU/NÚMERO DE PRODUCTO" axis="axisRow" compact="0" outline="0" showAll="0" defaultSubtotal="0">
      <items count="6">
        <item x="0"/>
        <item x="4"/>
        <item x="3"/>
        <item x="2"/>
        <item x="1"/>
        <item m="1" x="5"/>
      </items>
    </pivotField>
    <pivotField name="DESCRIPCIÓN" axis="axisRow" compact="0" outline="0" showAll="0" defaultSubtotal="0">
      <items count="6">
        <item n="Frazada" x="0"/>
        <item n="Almohada" x="4"/>
        <item n="Plato redondo" x="2"/>
        <item n="Plato cuadrado" x="3"/>
        <item n="Mantel, 15 cm redondo" x="1"/>
        <item m="1" x="5"/>
      </items>
    </pivotField>
    <pivotField dataField="1" compact="0" numFmtId="164" outline="0" showAll="0" defaultSubtotal="0"/>
    <pivotField name="% DE IMPUESTO" compact="0" numFmtId="10" outline="0" showAll="0" defaultSubtotal="0">
      <items count="1">
        <item x="0"/>
      </items>
    </pivotField>
    <pivotField dataField="1" compact="0" numFmtId="164" outline="0" showAll="0" defaultSubtotal="0"/>
    <pivotField dataField="1" compact="0" numFmtId="164" outline="0" showAll="0" defaultSubtotal="0"/>
  </pivotFields>
  <rowFields count="3">
    <field x="3"/>
    <field x="4"/>
    <field x="0"/>
  </rowFields>
  <rowItems count="6">
    <i>
      <x/>
      <x/>
      <x/>
    </i>
    <i>
      <x v="1"/>
      <x v="1"/>
      <x/>
    </i>
    <i>
      <x v="2"/>
      <x v="3"/>
      <x/>
    </i>
    <i>
      <x v="3"/>
      <x v="2"/>
      <x/>
    </i>
    <i>
      <x v="4"/>
      <x v="4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onto de las ventas " fld="5" baseField="0" baseItem="0" numFmtId="166"/>
    <dataField name="Impuesto a las ventas" fld="7" baseField="0" baseItem="0" numFmtId="166"/>
    <dataField name="Total " fld="8" baseField="0" baseItem="0" numFmtId="166"/>
  </dataFields>
  <formats count="13">
    <format dxfId="30">
      <pivotArea field="3" type="button" dataOnly="0" labelOnly="1" outline="0" axis="axisRow" fieldPosition="0"/>
    </format>
    <format dxfId="29">
      <pivotArea dataOnly="0" labelOnly="1" outline="0" fieldPosition="0">
        <references count="1">
          <reference field="3" count="0"/>
        </references>
      </pivotArea>
    </format>
    <format dxfId="28">
      <pivotArea dataOnly="0" labelOnly="1" grandRow="1" outline="0" fieldPosition="0"/>
    </format>
    <format dxfId="27">
      <pivotArea dataOnly="0" labelOnly="1" outline="0" fieldPosition="0">
        <references count="1">
          <reference field="4294967294" count="2">
            <x v="1"/>
            <x v="2"/>
          </reference>
        </references>
      </pivotArea>
    </format>
    <format dxfId="2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5">
      <pivotArea dataOnly="0" labelOnly="1" outline="0" fieldPosition="0">
        <references count="1">
          <reference field="0" count="0"/>
        </references>
      </pivotArea>
    </format>
    <format dxfId="24">
      <pivotArea type="all" dataOnly="0" outline="0" fieldPosition="0"/>
    </format>
    <format dxfId="23">
      <pivotArea outline="0" collapsedLevelsAreSubtotals="1" fieldPosition="0">
        <references count="4">
          <reference field="4294967294" count="2" selected="0">
            <x v="1"/>
            <x v="2"/>
          </reference>
          <reference field="0" count="0" selected="0"/>
          <reference field="3" count="0" selected="0"/>
          <reference field="4" count="0" selected="0"/>
        </references>
      </pivotArea>
    </format>
    <format dxfId="22">
      <pivotArea outline="0" collapsedLevelsAreSubtotals="1" fieldPosition="0">
        <references count="4">
          <reference field="4294967294" count="2" selected="0">
            <x v="1"/>
            <x v="2"/>
          </reference>
          <reference field="0" count="0" selected="0"/>
          <reference field="3" count="0" selected="0"/>
          <reference field="4" count="0" selected="0"/>
        </references>
      </pivotArea>
    </format>
    <format dxfId="21">
      <pivotArea outline="0" collapsedLevelsAreSubtotals="1" fieldPosition="0">
        <references count="4">
          <reference field="4294967294" count="2" selected="0">
            <x v="1"/>
            <x v="2"/>
          </reference>
          <reference field="0" count="0" selected="0"/>
          <reference field="3" count="0" selected="0"/>
          <reference field="4" count="0" selected="0"/>
        </references>
      </pivotArea>
    </format>
    <format dxfId="20">
      <pivotArea outline="0" fieldPosition="0">
        <references count="1">
          <reference field="4294967294" count="1">
            <x v="2"/>
          </reference>
        </references>
      </pivotArea>
    </format>
    <format dxfId="19">
      <pivotArea outline="0" fieldPosition="0">
        <references count="1">
          <reference field="4294967294" count="1">
            <x v="1"/>
          </reference>
        </references>
      </pivotArea>
    </format>
    <format dxfId="18">
      <pivotArea outline="0" fieldPosition="0">
        <references count="1">
          <reference field="4294967294" count="1">
            <x v="0"/>
          </reference>
        </references>
      </pivotArea>
    </format>
  </formats>
  <conditionalFormats count="4">
    <conditionalFormat scope="field" priority="13">
      <pivotAreas count="1">
        <pivotArea outline="0" collapsedLevelsAreSubtotals="1" fieldPosition="0">
          <references count="2">
            <reference field="4294967294" count="1" selected="0">
              <x v="1"/>
            </reference>
            <reference field="0" count="0" selected="0"/>
          </references>
        </pivotArea>
      </pivotAreas>
    </conditionalFormat>
    <conditionalFormat scope="field" priority="12">
      <pivotAreas count="1">
        <pivotArea outline="0" collapsedLevelsAreSubtotals="1" fieldPosition="0">
          <references count="2">
            <reference field="4294967294" count="1" selected="0">
              <x v="2"/>
            </reference>
            <reference field="0" count="0" selected="0"/>
          </references>
        </pivotArea>
      </pivotAreas>
    </conditionalFormat>
    <conditionalFormat scope="field" priority="3">
      <pivotAreas count="1">
        <pivotArea outline="0" collapsedLevelsAreSubtotals="1" fieldPosition="0">
          <references count="2">
            <reference field="4294967294" count="1" selected="0">
              <x v="1"/>
            </reference>
            <reference field="0" count="0" selected="0"/>
          </references>
        </pivotArea>
      </pivotAreas>
    </conditionalFormat>
    <conditionalFormat scope="field" priority="2">
      <pivotAreas count="1">
        <pivotArea outline="0" collapsedLevelsAreSubtotals="1" fieldPosition="0">
          <references count="2">
            <reference field="4294967294" count="1" selected="0">
              <x v="2"/>
            </reference>
            <reference field="0" count="0" selected="0"/>
          </references>
        </pivotArea>
      </pivotAreas>
    </conditionalFormat>
  </conditionalFormats>
  <pivotTableStyleInfo name="Sales Repor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altText="Pivot Table" altTextSummary="Tabla dinámica Informes de ventas.  Muestra un total ordenado por SKU/PRODUCTO, DESCRIPCIÓN y FECHA, así como totales de Tasa de ventas y Total." hideValuesRow="1"/>
    </ext>
  </extLst>
</pivotTableDefinition>
</file>

<file path=xl/tables/table1.xml><?xml version="1.0" encoding="utf-8"?>
<table xmlns="http://schemas.openxmlformats.org/spreadsheetml/2006/main" id="1" name="tblDatosDeVentas" displayName="tblDatosDeVentas" ref="B8:J13">
  <autoFilter ref="B8:J13"/>
  <tableColumns count="9">
    <tableColumn id="1" name="FECHA" totalsRowLabel="Total" totalsRowDxfId="43"/>
    <tableColumn id="2" name="HORA" dataDxfId="42" totalsRowDxfId="41"/>
    <tableColumn id="3" name="NÚMERO DE TRANSACCIÓN" totalsRowDxfId="40"/>
    <tableColumn id="8" name="SKU/NÚMERO DE PRODUCTO" totalsRowDxfId="39"/>
    <tableColumn id="4" name="DESCRIPCIÓN" dataDxfId="13">
      <calculatedColumnFormula>IFERROR(IF(ISNA(VLOOKUP(tblDatosDeVentas[[#This Row],[SKU/NÚMERO DE PRODUCTO]],tblInventory[],2,0)),"",VLOOKUP(tblDatosDeVentas[[#This Row],[SKU/NÚMERO DE PRODUCTO]],tblInventory[],2,0)),"No se encontró ninguna descripción")</calculatedColumnFormula>
    </tableColumn>
    <tableColumn id="5" name="MONTO DE VENTAS" totalsRowDxfId="38"/>
    <tableColumn id="9" name="% DE IMPUESTO" totalsRowDxfId="37"/>
    <tableColumn id="6" name="IMPUESTO A LAS VENTAS" dataDxfId="36">
      <calculatedColumnFormula>tblDatosDeVentas[[#This Row],[MONTO DE VENTAS]]*tblDatosDeVentas[[#This Row],[% DE IMPUESTO]]</calculatedColumnFormula>
    </tableColumn>
    <tableColumn id="7" name="TOTAL" totalsRowFunction="sum" dataDxfId="35">
      <calculatedColumnFormula>tblDatosDeVentas[[#This Row],[MONTO DE VENTAS]]+tblDatosDeVentas[[#This Row],[IMPUESTO A LAS VENTAS]]</calculatedColumnFormula>
    </tableColumn>
  </tableColumns>
  <tableStyleInfo name="Cash Register Sales" showFirstColumn="0" showLastColumn="1" showRowStripes="1" showColumnStripes="0"/>
  <extLst>
    <ext xmlns:x14="http://schemas.microsoft.com/office/spreadsheetml/2009/9/main" uri="{504A1905-F514-4f6f-8877-14C23A59335A}">
      <x14:table altText="Table" altTextSummary="Sales Data Table.  Enter daily sales transactions.  Descriptions will be filled in automatically by the SKU/PRODUCT NUMBER by formula, based on the Inventory worksheet.  SALES TAX and TOTAL are calculated values."/>
    </ext>
  </extLst>
</table>
</file>

<file path=xl/tables/table2.xml><?xml version="1.0" encoding="utf-8"?>
<table xmlns="http://schemas.openxmlformats.org/spreadsheetml/2006/main" id="2" name="tblInventory" displayName="tblInventory" ref="B8:C31" totalsRowShown="0" headerRowDxfId="17" dataDxfId="16">
  <tableColumns count="2">
    <tableColumn id="1" name="SKU/NÚMERO DE PRODUCTO" dataDxfId="15"/>
    <tableColumn id="2" name="DESCRIPCIÓN" dataDxfId="14"/>
  </tableColumns>
  <tableStyleInfo name="Cash Register Sales" showFirstColumn="0" showLastColumn="0" showRowStripes="1" showColumnStripes="0"/>
  <extLst>
    <ext xmlns:x14="http://schemas.microsoft.com/office/spreadsheetml/2009/9/main" uri="{504A1905-F514-4f6f-8877-14C23A59335A}">
      <x14:table altText="Table" altTextSummary="Inventory Table.  Enter SKU/PRODUCT NUMBER's and their associated DESCRIPTIONS.  This will populate the Sales Data worksheet when you enter a SKU/PRODUCT NUMBER."/>
    </ext>
  </extLst>
</table>
</file>

<file path=xl/theme/theme1.xml><?xml version="1.0" encoding="utf-8"?>
<a:theme xmlns:a="http://schemas.openxmlformats.org/drawingml/2006/main" name="Office Theme">
  <a:themeElements>
    <a:clrScheme name="Daily Cash Register Sales">
      <a:dk1>
        <a:srgbClr val="000000"/>
      </a:dk1>
      <a:lt1>
        <a:srgbClr val="FFFFFF"/>
      </a:lt1>
      <a:dk2>
        <a:srgbClr val="4D4D4F"/>
      </a:dk2>
      <a:lt2>
        <a:srgbClr val="F7F6F0"/>
      </a:lt2>
      <a:accent1>
        <a:srgbClr val="E0A336"/>
      </a:accent1>
      <a:accent2>
        <a:srgbClr val="CC6600"/>
      </a:accent2>
      <a:accent3>
        <a:srgbClr val="B53820"/>
      </a:accent3>
      <a:accent4>
        <a:srgbClr val="4BA6C6"/>
      </a:accent4>
      <a:accent5>
        <a:srgbClr val="2EBC67"/>
      </a:accent5>
      <a:accent6>
        <a:srgbClr val="6D2F91"/>
      </a:accent6>
      <a:hlink>
        <a:srgbClr val="4BA6C6"/>
      </a:hlink>
      <a:folHlink>
        <a:srgbClr val="6D2F91"/>
      </a:folHlink>
    </a:clrScheme>
    <a:fontScheme name="Daily Cash Register Sales">
      <a:majorFont>
        <a:latin typeface="Trebuchet MS"/>
        <a:ea typeface=""/>
        <a:cs typeface=""/>
      </a:majorFont>
      <a:minorFont>
        <a:latin typeface="Trebuchet M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6"/>
    <pageSetUpPr autoPageBreaks="0" fitToPage="1"/>
  </sheetPr>
  <dimension ref="B1:K17"/>
  <sheetViews>
    <sheetView showGridLines="0" tabSelected="1" zoomScaleNormal="100" workbookViewId="0"/>
  </sheetViews>
  <sheetFormatPr baseColWidth="10" defaultColWidth="9.140625" defaultRowHeight="21" customHeight="1" x14ac:dyDescent="0.3"/>
  <cols>
    <col min="1" max="1" width="3.28515625" customWidth="1"/>
    <col min="2" max="2" width="16.140625" style="9" customWidth="1"/>
    <col min="3" max="3" width="14.7109375" style="2" customWidth="1"/>
    <col min="4" max="4" width="23" style="2" customWidth="1"/>
    <col min="5" max="5" width="23.140625" style="2" customWidth="1"/>
    <col min="6" max="6" width="24.85546875" style="2" customWidth="1"/>
    <col min="7" max="7" width="20.5703125" style="5" bestFit="1" customWidth="1"/>
    <col min="8" max="8" width="17.5703125" style="5" bestFit="1" customWidth="1"/>
    <col min="9" max="9" width="25.7109375" style="5" bestFit="1" customWidth="1"/>
    <col min="10" max="10" width="16.5703125" style="5" customWidth="1"/>
    <col min="11" max="11" width="3.28515625" customWidth="1"/>
  </cols>
  <sheetData>
    <row r="1" spans="2:11" ht="15" x14ac:dyDescent="0.3">
      <c r="B1" s="7"/>
      <c r="C1"/>
      <c r="D1"/>
      <c r="E1"/>
      <c r="F1"/>
      <c r="G1" s="6"/>
      <c r="H1" s="6"/>
      <c r="I1" s="6"/>
      <c r="J1"/>
    </row>
    <row r="2" spans="2:11" ht="36" x14ac:dyDescent="0.3">
      <c r="B2" s="8" t="s">
        <v>11</v>
      </c>
      <c r="C2"/>
      <c r="D2"/>
      <c r="E2"/>
      <c r="F2"/>
      <c r="G2" s="6"/>
      <c r="H2" s="6"/>
      <c r="I2" s="6"/>
      <c r="J2"/>
    </row>
    <row r="3" spans="2:11" ht="17.25" customHeight="1" x14ac:dyDescent="0.3">
      <c r="B3" s="8"/>
      <c r="C3"/>
      <c r="D3"/>
      <c r="E3"/>
      <c r="F3"/>
      <c r="G3" s="6"/>
      <c r="H3" s="6"/>
      <c r="I3" s="6"/>
      <c r="J3" s="6"/>
    </row>
    <row r="4" spans="2:11" ht="15.75" customHeight="1" x14ac:dyDescent="0.3">
      <c r="B4" s="7"/>
      <c r="C4"/>
      <c r="D4"/>
      <c r="E4"/>
      <c r="F4"/>
      <c r="G4" s="6"/>
      <c r="H4" s="6"/>
      <c r="I4" s="6"/>
      <c r="J4" s="6"/>
    </row>
    <row r="5" spans="2:11" ht="17.25" customHeight="1" x14ac:dyDescent="0.3">
      <c r="B5" s="7"/>
      <c r="C5"/>
      <c r="D5"/>
      <c r="E5"/>
      <c r="F5"/>
      <c r="G5" s="6"/>
      <c r="H5" s="6"/>
      <c r="I5" s="6"/>
      <c r="J5" s="6"/>
    </row>
    <row r="6" spans="2:11" ht="15" x14ac:dyDescent="0.3">
      <c r="B6" s="10"/>
      <c r="C6" s="1"/>
      <c r="D6" s="1"/>
      <c r="E6" s="1"/>
      <c r="F6" s="1"/>
      <c r="G6" s="11"/>
      <c r="H6" s="11"/>
      <c r="I6" s="11"/>
      <c r="J6" s="11"/>
      <c r="K6" t="s">
        <v>2</v>
      </c>
    </row>
    <row r="7" spans="2:11" ht="15" x14ac:dyDescent="0.3">
      <c r="B7" s="10"/>
      <c r="C7" s="1"/>
      <c r="D7" s="1"/>
      <c r="E7" s="1"/>
      <c r="F7" s="1"/>
      <c r="G7" s="11"/>
      <c r="H7" s="11"/>
      <c r="I7" s="11"/>
      <c r="J7" s="11"/>
      <c r="K7" t="s">
        <v>2</v>
      </c>
    </row>
    <row r="8" spans="2:11" ht="38.25" customHeight="1" x14ac:dyDescent="0.3">
      <c r="B8" s="27" t="s">
        <v>3</v>
      </c>
      <c r="C8" s="28" t="s">
        <v>4</v>
      </c>
      <c r="D8" s="28" t="s">
        <v>5</v>
      </c>
      <c r="E8" s="28" t="s">
        <v>6</v>
      </c>
      <c r="F8" s="28" t="s">
        <v>7</v>
      </c>
      <c r="G8" s="29" t="s">
        <v>8</v>
      </c>
      <c r="H8" s="29" t="s">
        <v>9</v>
      </c>
      <c r="I8" s="29" t="s">
        <v>10</v>
      </c>
      <c r="J8" s="29" t="s">
        <v>1</v>
      </c>
    </row>
    <row r="9" spans="2:11" ht="21" customHeight="1" x14ac:dyDescent="0.3">
      <c r="B9" s="30">
        <v>40940</v>
      </c>
      <c r="C9" s="42">
        <v>0.4375</v>
      </c>
      <c r="D9" s="31">
        <v>1001</v>
      </c>
      <c r="E9" s="32">
        <v>90001</v>
      </c>
      <c r="F9" s="31" t="str">
        <f>IFERROR(IF(ISNA(VLOOKUP(tblDatosDeVentas[[#This Row],[SKU/NÚMERO DE PRODUCTO]],tblInventory[],2,0)),"",VLOOKUP(tblDatosDeVentas[[#This Row],[SKU/NÚMERO DE PRODUCTO]],tblInventory[],2,0)),"No se encontró ninguna descripción")</f>
        <v>Frazada</v>
      </c>
      <c r="G9" s="40">
        <v>74.95</v>
      </c>
      <c r="H9" s="33">
        <v>0.05</v>
      </c>
      <c r="I9" s="41">
        <f>tblDatosDeVentas[[#This Row],[MONTO DE VENTAS]]*tblDatosDeVentas[[#This Row],[% DE IMPUESTO]]</f>
        <v>3.7475000000000005</v>
      </c>
      <c r="J9" s="41">
        <f>tblDatosDeVentas[[#This Row],[MONTO DE VENTAS]]+tblDatosDeVentas[[#This Row],[IMPUESTO A LAS VENTAS]]</f>
        <v>78.697500000000005</v>
      </c>
    </row>
    <row r="10" spans="2:11" ht="21" customHeight="1" x14ac:dyDescent="0.3">
      <c r="B10" s="30">
        <v>40940</v>
      </c>
      <c r="C10" s="42">
        <v>0.43958333333333338</v>
      </c>
      <c r="D10" s="31">
        <v>1002</v>
      </c>
      <c r="E10" s="32">
        <v>90023</v>
      </c>
      <c r="F10" s="31" t="str">
        <f>IFERROR(IF(ISNA(VLOOKUP(tblDatosDeVentas[[#This Row],[SKU/NÚMERO DE PRODUCTO]],tblInventory[],2,0)),"",VLOOKUP(tblDatosDeVentas[[#This Row],[SKU/NÚMERO DE PRODUCTO]],tblInventory[],2,0)),"No se encontró ninguna descripción")</f>
        <v>Mantel, 15 cm redondo</v>
      </c>
      <c r="G10" s="40">
        <v>34.99</v>
      </c>
      <c r="H10" s="33">
        <v>0.05</v>
      </c>
      <c r="I10" s="41">
        <f>tblDatosDeVentas[[#This Row],[MONTO DE VENTAS]]*tblDatosDeVentas[[#This Row],[% DE IMPUESTO]]</f>
        <v>1.7495000000000003</v>
      </c>
      <c r="J10" s="41">
        <f>tblDatosDeVentas[[#This Row],[MONTO DE VENTAS]]+tblDatosDeVentas[[#This Row],[IMPUESTO A LAS VENTAS]]</f>
        <v>36.7395</v>
      </c>
    </row>
    <row r="11" spans="2:11" ht="21" customHeight="1" x14ac:dyDescent="0.3">
      <c r="B11" s="30">
        <v>40940</v>
      </c>
      <c r="C11" s="42">
        <v>0.44791666666666669</v>
      </c>
      <c r="D11" s="31">
        <v>1003</v>
      </c>
      <c r="E11" s="32">
        <v>90005</v>
      </c>
      <c r="F11" s="31" t="str">
        <f>IFERROR(IF(ISNA(VLOOKUP(tblDatosDeVentas[[#This Row],[SKU/NÚMERO DE PRODUCTO]],tblInventory[],2,0)),"",VLOOKUP(tblDatosDeVentas[[#This Row],[SKU/NÚMERO DE PRODUCTO]],tblInventory[],2,0)),"No se encontró ninguna descripción")</f>
        <v>Plato redondo</v>
      </c>
      <c r="G11" s="40">
        <v>55.95</v>
      </c>
      <c r="H11" s="33">
        <v>0.05</v>
      </c>
      <c r="I11" s="41">
        <f>tblDatosDeVentas[[#This Row],[MONTO DE VENTAS]]*tblDatosDeVentas[[#This Row],[% DE IMPUESTO]]</f>
        <v>2.7975000000000003</v>
      </c>
      <c r="J11" s="41">
        <f>tblDatosDeVentas[[#This Row],[MONTO DE VENTAS]]+tblDatosDeVentas[[#This Row],[IMPUESTO A LAS VENTAS]]</f>
        <v>58.747500000000002</v>
      </c>
    </row>
    <row r="12" spans="2:11" ht="21" customHeight="1" x14ac:dyDescent="0.3">
      <c r="B12" s="30">
        <v>40940</v>
      </c>
      <c r="C12" s="42">
        <v>0.4548611111111111</v>
      </c>
      <c r="D12" s="31">
        <v>1004</v>
      </c>
      <c r="E12" s="32">
        <v>90004</v>
      </c>
      <c r="F12" s="34" t="str">
        <f>IFERROR(IF(ISNA(VLOOKUP(tblDatosDeVentas[[#This Row],[SKU/NÚMERO DE PRODUCTO]],tblInventory[],2,0)),"",VLOOKUP(tblDatosDeVentas[[#This Row],[SKU/NÚMERO DE PRODUCTO]],tblInventory[],2,0)),"No se encontró ninguna descripción")</f>
        <v>Plato cuadrado</v>
      </c>
      <c r="G12" s="40">
        <v>2.95</v>
      </c>
      <c r="H12" s="33">
        <v>0.05</v>
      </c>
      <c r="I12" s="41">
        <f>tblDatosDeVentas[[#This Row],[MONTO DE VENTAS]]*tblDatosDeVentas[[#This Row],[% DE IMPUESTO]]</f>
        <v>0.14750000000000002</v>
      </c>
      <c r="J12" s="41">
        <f>tblDatosDeVentas[[#This Row],[MONTO DE VENTAS]]+tblDatosDeVentas[[#This Row],[IMPUESTO A LAS VENTAS]]</f>
        <v>3.0975000000000001</v>
      </c>
    </row>
    <row r="13" spans="2:11" ht="21" customHeight="1" x14ac:dyDescent="0.3">
      <c r="B13" s="30">
        <v>40940</v>
      </c>
      <c r="C13" s="42">
        <v>0.48958333333333331</v>
      </c>
      <c r="D13" s="31">
        <v>1005</v>
      </c>
      <c r="E13" s="32">
        <v>90002</v>
      </c>
      <c r="F13" s="34" t="str">
        <f>IFERROR(IF(ISNA(VLOOKUP(tblDatosDeVentas[[#This Row],[SKU/NÚMERO DE PRODUCTO]],tblInventory[],2,0)),"",VLOOKUP(tblDatosDeVentas[[#This Row],[SKU/NÚMERO DE PRODUCTO]],tblInventory[],2,0)),"No se encontró ninguna descripción")</f>
        <v>Almohada</v>
      </c>
      <c r="G13" s="40">
        <v>14.98</v>
      </c>
      <c r="H13" s="33">
        <v>0.05</v>
      </c>
      <c r="I13" s="41">
        <f>tblDatosDeVentas[[#This Row],[MONTO DE VENTAS]]*tblDatosDeVentas[[#This Row],[% DE IMPUESTO]]</f>
        <v>0.74900000000000011</v>
      </c>
      <c r="J13" s="41">
        <f>tblDatosDeVentas[[#This Row],[MONTO DE VENTAS]]+tblDatosDeVentas[[#This Row],[IMPUESTO A LAS VENTAS]]</f>
        <v>15.729000000000001</v>
      </c>
    </row>
    <row r="17" spans="5:5" ht="21" customHeight="1" x14ac:dyDescent="0.3">
      <c r="E17" s="35"/>
    </row>
  </sheetData>
  <dataValidations count="3">
    <dataValidation type="list" errorStyle="warning" allowBlank="1" showInputMessage="1" showErrorMessage="1" errorTitle="Cuidado." error="Estos números son de una lista de la hoja Inventario.  Para agregarlo a la lista desplegable, haga clic en Cancelar, vaya a la hoja Inventario y agréguelo a la lista." sqref="E13 E12 E10">
      <formula1>NP</formula1>
    </dataValidation>
    <dataValidation type="list" errorStyle="warning" allowBlank="1" showInputMessage="1" showErrorMessage="1" errorTitle="Cuidado." error="Estos números son de una lista de la hoja Inventario.  Para agregarlo a la lista desplegable, haga clic en Cancelar, vaya a la hoja Inventario y agréguelo a la lista." sqref="E11">
      <formula1>NP</formula1>
    </dataValidation>
    <dataValidation type="list" errorStyle="warning" allowBlank="1" showInputMessage="1" showErrorMessage="1" errorTitle="Cuidado." error="Estos números son de una lista de la hoja Inventario.  Para agregarlo a la lista desplegable, haga clic en Cancelar, vaya a la hoja Inventario y agréguelo a la lista." sqref="E9">
      <formula1>NP</formula1>
    </dataValidation>
  </dataValidations>
  <printOptions horizontalCentered="1"/>
  <pageMargins left="0.25" right="0.25" top="0.75" bottom="0.75" header="0.3" footer="0.3"/>
  <pageSetup scale="86" fitToHeight="0" orientation="landscape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/>
    <pageSetUpPr autoPageBreaks="0" fitToPage="1"/>
  </sheetPr>
  <dimension ref="B1:G15"/>
  <sheetViews>
    <sheetView showGridLines="0" zoomScaleNormal="100" workbookViewId="0"/>
  </sheetViews>
  <sheetFormatPr baseColWidth="10" defaultColWidth="9.140625" defaultRowHeight="21" customHeight="1" x14ac:dyDescent="0.3"/>
  <cols>
    <col min="1" max="1" width="3.28515625" customWidth="1"/>
    <col min="2" max="2" width="28.7109375" style="16" customWidth="1"/>
    <col min="3" max="3" width="35" style="2" customWidth="1"/>
    <col min="4" max="4" width="13.28515625" style="2" customWidth="1"/>
    <col min="5" max="5" width="18.42578125" style="2" bestFit="1" customWidth="1"/>
    <col min="6" max="6" width="20" style="2" bestFit="1" customWidth="1"/>
    <col min="7" max="7" width="13.7109375" style="2" customWidth="1"/>
  </cols>
  <sheetData>
    <row r="1" spans="2:7" ht="15" x14ac:dyDescent="0.3">
      <c r="B1" s="23"/>
      <c r="C1" s="20"/>
      <c r="D1" s="20"/>
      <c r="E1" s="20"/>
      <c r="F1" s="20"/>
      <c r="G1" s="20"/>
    </row>
    <row r="2" spans="2:7" ht="36" x14ac:dyDescent="0.3">
      <c r="B2" s="21" t="s">
        <v>11</v>
      </c>
      <c r="C2" s="20"/>
      <c r="D2" s="20"/>
      <c r="E2" s="20"/>
      <c r="F2" s="20"/>
      <c r="G2" s="24"/>
    </row>
    <row r="3" spans="2:7" ht="17.25" customHeight="1" x14ac:dyDescent="0.3">
      <c r="B3" s="25"/>
      <c r="C3" s="20"/>
      <c r="D3" s="20"/>
      <c r="E3" s="20"/>
      <c r="F3" s="20"/>
      <c r="G3" s="20"/>
    </row>
    <row r="4" spans="2:7" ht="15.75" customHeight="1" x14ac:dyDescent="0.3">
      <c r="B4" s="26"/>
      <c r="C4" s="20"/>
      <c r="D4" s="20"/>
      <c r="E4" s="20"/>
      <c r="F4" s="20"/>
      <c r="G4" s="20"/>
    </row>
    <row r="5" spans="2:7" ht="17.25" customHeight="1" x14ac:dyDescent="0.3">
      <c r="B5" s="26"/>
      <c r="C5" s="20"/>
      <c r="D5" s="20"/>
      <c r="E5" s="20"/>
      <c r="F5" s="20"/>
      <c r="G5" s="20"/>
    </row>
    <row r="6" spans="2:7" ht="15" x14ac:dyDescent="0.3">
      <c r="B6" s="3"/>
      <c r="C6" s="1"/>
      <c r="D6" s="1"/>
      <c r="E6" s="1"/>
      <c r="F6" s="1"/>
      <c r="G6" s="1"/>
    </row>
    <row r="7" spans="2:7" ht="15" x14ac:dyDescent="0.3">
      <c r="B7" s="3"/>
      <c r="C7" s="1"/>
      <c r="D7" s="1"/>
      <c r="E7" s="1"/>
      <c r="F7" s="1"/>
      <c r="G7" s="1"/>
    </row>
    <row r="8" spans="2:7" ht="21" customHeight="1" x14ac:dyDescent="0.3">
      <c r="B8" s="17" t="s">
        <v>6</v>
      </c>
      <c r="C8" s="2" t="s">
        <v>7</v>
      </c>
      <c r="D8" s="2" t="s">
        <v>3</v>
      </c>
      <c r="E8" s="18" t="s">
        <v>35</v>
      </c>
      <c r="F8" s="18" t="s">
        <v>36</v>
      </c>
      <c r="G8" s="18" t="s">
        <v>0</v>
      </c>
    </row>
    <row r="9" spans="2:7" ht="21" customHeight="1" x14ac:dyDescent="0.3">
      <c r="B9" s="17">
        <v>90001</v>
      </c>
      <c r="C9" s="2" t="s">
        <v>12</v>
      </c>
      <c r="D9" s="19">
        <v>40940</v>
      </c>
      <c r="E9" s="36">
        <v>74.95</v>
      </c>
      <c r="F9" s="37">
        <v>3.7475000000000005</v>
      </c>
      <c r="G9" s="37">
        <v>78.697500000000005</v>
      </c>
    </row>
    <row r="10" spans="2:7" ht="21" customHeight="1" x14ac:dyDescent="0.3">
      <c r="B10" s="17">
        <v>90002</v>
      </c>
      <c r="C10" s="2" t="s">
        <v>13</v>
      </c>
      <c r="D10" s="19">
        <v>40940</v>
      </c>
      <c r="E10" s="36">
        <v>14.98</v>
      </c>
      <c r="F10" s="38">
        <v>0.74900000000000011</v>
      </c>
      <c r="G10" s="38">
        <v>15.729000000000001</v>
      </c>
    </row>
    <row r="11" spans="2:7" ht="21" customHeight="1" x14ac:dyDescent="0.3">
      <c r="B11" s="17">
        <v>90004</v>
      </c>
      <c r="C11" s="2" t="s">
        <v>15</v>
      </c>
      <c r="D11" s="19">
        <v>40940</v>
      </c>
      <c r="E11" s="36">
        <v>2.95</v>
      </c>
      <c r="F11" s="38">
        <v>0.14750000000000002</v>
      </c>
      <c r="G11" s="38">
        <v>3.0975000000000001</v>
      </c>
    </row>
    <row r="12" spans="2:7" ht="21" customHeight="1" x14ac:dyDescent="0.3">
      <c r="B12" s="17">
        <v>90005</v>
      </c>
      <c r="C12" s="2" t="s">
        <v>16</v>
      </c>
      <c r="D12" s="19">
        <v>40940</v>
      </c>
      <c r="E12" s="36">
        <v>55.95</v>
      </c>
      <c r="F12" s="38">
        <v>2.7975000000000003</v>
      </c>
      <c r="G12" s="38">
        <v>58.747500000000002</v>
      </c>
    </row>
    <row r="13" spans="2:7" ht="21" customHeight="1" x14ac:dyDescent="0.3">
      <c r="B13" s="17">
        <v>90023</v>
      </c>
      <c r="C13" s="2" t="s">
        <v>34</v>
      </c>
      <c r="D13" s="19">
        <v>40940</v>
      </c>
      <c r="E13" s="36">
        <v>34.99</v>
      </c>
      <c r="F13" s="39">
        <v>1.7495000000000003</v>
      </c>
      <c r="G13" s="39">
        <v>36.7395</v>
      </c>
    </row>
    <row r="14" spans="2:7" ht="21" customHeight="1" x14ac:dyDescent="0.3">
      <c r="B14" s="17" t="s">
        <v>37</v>
      </c>
      <c r="C14" s="17"/>
      <c r="D14" s="17"/>
      <c r="E14" s="36">
        <v>183.82000000000002</v>
      </c>
      <c r="F14" s="36">
        <v>9.1910000000000025</v>
      </c>
      <c r="G14" s="36">
        <v>193.011</v>
      </c>
    </row>
    <row r="15" spans="2:7" ht="21" customHeight="1" x14ac:dyDescent="0.3">
      <c r="B15" s="1"/>
      <c r="C15" s="1"/>
      <c r="D15" s="1"/>
      <c r="E15" s="1"/>
      <c r="F15" s="1"/>
      <c r="G15" s="1"/>
    </row>
  </sheetData>
  <conditionalFormatting pivot="1" sqref="F9:F13">
    <cfRule type="expression" dxfId="34" priority="13">
      <formula>ROW()&lt;&gt;ROW(INDEX($F:$F,COUNTA($F:$F)+PT_FilaInicio-2,1))</formula>
    </cfRule>
  </conditionalFormatting>
  <conditionalFormatting pivot="1" sqref="G9:G13">
    <cfRule type="expression" dxfId="33" priority="12">
      <formula>ROW()&lt;&gt;ROW(INDEX($G:$G,COUNTA($G:$G)+PT_FilaInicio - 2,1))</formula>
    </cfRule>
  </conditionalFormatting>
  <conditionalFormatting pivot="1" sqref="F9:F13">
    <cfRule type="expression" dxfId="32" priority="3">
      <formula>ROW()&lt;&gt;ROW(INDEX($G:$G,COUNTA($G:$G)+PT_FilaInicio - 3,1))</formula>
    </cfRule>
  </conditionalFormatting>
  <conditionalFormatting pivot="1" sqref="G9:G13">
    <cfRule type="expression" dxfId="31" priority="2">
      <formula>ROW()&lt;&gt;ROW(INDEX($G:$G,COUNTA($G:$G)+PT_FilaInicio - 3,1))</formula>
    </cfRule>
  </conditionalFormatting>
  <printOptions horizontalCentered="1"/>
  <pageMargins left="0.25" right="0.25" top="0.75" bottom="0.75" header="0.3" footer="0.3"/>
  <pageSetup fitToHeight="0" orientation="landscape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4"/>
    <pageSetUpPr autoPageBreaks="0" fitToPage="1"/>
  </sheetPr>
  <dimension ref="B1:C31"/>
  <sheetViews>
    <sheetView showGridLines="0" zoomScaleNormal="100" workbookViewId="0"/>
  </sheetViews>
  <sheetFormatPr baseColWidth="10" defaultColWidth="9.140625" defaultRowHeight="21" customHeight="1" x14ac:dyDescent="0.3"/>
  <cols>
    <col min="1" max="1" width="3.28515625" customWidth="1"/>
    <col min="2" max="2" width="31.85546875" style="12" customWidth="1"/>
    <col min="3" max="3" width="46.85546875" style="2" customWidth="1"/>
  </cols>
  <sheetData>
    <row r="1" spans="2:3" ht="15" x14ac:dyDescent="0.3">
      <c r="B1" s="20"/>
      <c r="C1" s="20"/>
    </row>
    <row r="2" spans="2:3" ht="36" x14ac:dyDescent="0.3">
      <c r="B2" s="21" t="s">
        <v>11</v>
      </c>
      <c r="C2" s="20"/>
    </row>
    <row r="3" spans="2:3" ht="17.25" customHeight="1" x14ac:dyDescent="0.3">
      <c r="B3" s="20"/>
      <c r="C3" s="20"/>
    </row>
    <row r="4" spans="2:3" ht="15.75" customHeight="1" x14ac:dyDescent="0.3">
      <c r="B4" s="20"/>
      <c r="C4" s="20"/>
    </row>
    <row r="5" spans="2:3" ht="17.25" customHeight="1" x14ac:dyDescent="0.3">
      <c r="B5" s="20"/>
      <c r="C5" s="20"/>
    </row>
    <row r="6" spans="2:3" ht="15" x14ac:dyDescent="0.3">
      <c r="B6" s="22"/>
      <c r="C6" s="10"/>
    </row>
    <row r="7" spans="2:3" ht="15" x14ac:dyDescent="0.3">
      <c r="B7" s="22"/>
      <c r="C7" s="10"/>
    </row>
    <row r="8" spans="2:3" ht="21" customHeight="1" x14ac:dyDescent="0.3">
      <c r="B8" s="13" t="s">
        <v>6</v>
      </c>
      <c r="C8" s="4" t="s">
        <v>7</v>
      </c>
    </row>
    <row r="9" spans="2:3" ht="21" customHeight="1" x14ac:dyDescent="0.3">
      <c r="B9" s="14">
        <v>90001</v>
      </c>
      <c r="C9" s="15" t="s">
        <v>12</v>
      </c>
    </row>
    <row r="10" spans="2:3" ht="21" customHeight="1" x14ac:dyDescent="0.3">
      <c r="B10" s="14">
        <v>90002</v>
      </c>
      <c r="C10" s="15" t="s">
        <v>13</v>
      </c>
    </row>
    <row r="11" spans="2:3" ht="21" customHeight="1" x14ac:dyDescent="0.3">
      <c r="B11" s="14">
        <v>90003</v>
      </c>
      <c r="C11" s="15" t="s">
        <v>14</v>
      </c>
    </row>
    <row r="12" spans="2:3" ht="21" customHeight="1" x14ac:dyDescent="0.3">
      <c r="B12" s="14">
        <v>90004</v>
      </c>
      <c r="C12" s="15" t="s">
        <v>15</v>
      </c>
    </row>
    <row r="13" spans="2:3" ht="21" customHeight="1" x14ac:dyDescent="0.3">
      <c r="B13" s="14">
        <v>90005</v>
      </c>
      <c r="C13" s="15" t="s">
        <v>16</v>
      </c>
    </row>
    <row r="14" spans="2:3" ht="21" customHeight="1" x14ac:dyDescent="0.3">
      <c r="B14" s="14">
        <v>90006</v>
      </c>
      <c r="C14" s="15" t="s">
        <v>17</v>
      </c>
    </row>
    <row r="15" spans="2:3" ht="21" customHeight="1" x14ac:dyDescent="0.3">
      <c r="B15" s="14">
        <v>90007</v>
      </c>
      <c r="C15" s="15" t="s">
        <v>18</v>
      </c>
    </row>
    <row r="16" spans="2:3" ht="21" customHeight="1" x14ac:dyDescent="0.3">
      <c r="B16" s="14">
        <v>90008</v>
      </c>
      <c r="C16" s="15" t="s">
        <v>19</v>
      </c>
    </row>
    <row r="17" spans="2:3" ht="21" customHeight="1" x14ac:dyDescent="0.3">
      <c r="B17" s="14">
        <v>90009</v>
      </c>
      <c r="C17" s="15" t="s">
        <v>20</v>
      </c>
    </row>
    <row r="18" spans="2:3" ht="21" customHeight="1" x14ac:dyDescent="0.3">
      <c r="B18" s="14">
        <v>90010</v>
      </c>
      <c r="C18" s="15" t="s">
        <v>21</v>
      </c>
    </row>
    <row r="19" spans="2:3" ht="21" customHeight="1" x14ac:dyDescent="0.3">
      <c r="B19" s="14">
        <v>90011</v>
      </c>
      <c r="C19" s="15" t="s">
        <v>22</v>
      </c>
    </row>
    <row r="20" spans="2:3" ht="21" customHeight="1" x14ac:dyDescent="0.3">
      <c r="B20" s="14">
        <v>90012</v>
      </c>
      <c r="C20" s="15" t="s">
        <v>23</v>
      </c>
    </row>
    <row r="21" spans="2:3" ht="21" customHeight="1" x14ac:dyDescent="0.3">
      <c r="B21" s="14">
        <v>90013</v>
      </c>
      <c r="C21" s="15" t="s">
        <v>24</v>
      </c>
    </row>
    <row r="22" spans="2:3" ht="21" customHeight="1" x14ac:dyDescent="0.3">
      <c r="B22" s="14">
        <v>90014</v>
      </c>
      <c r="C22" s="15" t="s">
        <v>25</v>
      </c>
    </row>
    <row r="23" spans="2:3" ht="21" customHeight="1" x14ac:dyDescent="0.3">
      <c r="B23" s="14">
        <v>90015</v>
      </c>
      <c r="C23" s="15" t="s">
        <v>26</v>
      </c>
    </row>
    <row r="24" spans="2:3" ht="21" customHeight="1" x14ac:dyDescent="0.3">
      <c r="B24" s="14">
        <v>90016</v>
      </c>
      <c r="C24" s="15" t="s">
        <v>27</v>
      </c>
    </row>
    <row r="25" spans="2:3" ht="21" customHeight="1" x14ac:dyDescent="0.3">
      <c r="B25" s="14">
        <v>90017</v>
      </c>
      <c r="C25" s="15" t="s">
        <v>28</v>
      </c>
    </row>
    <row r="26" spans="2:3" ht="21" customHeight="1" x14ac:dyDescent="0.3">
      <c r="B26" s="14">
        <v>90018</v>
      </c>
      <c r="C26" s="15" t="s">
        <v>29</v>
      </c>
    </row>
    <row r="27" spans="2:3" ht="21" customHeight="1" x14ac:dyDescent="0.3">
      <c r="B27" s="14">
        <v>90019</v>
      </c>
      <c r="C27" s="15" t="s">
        <v>30</v>
      </c>
    </row>
    <row r="28" spans="2:3" ht="21" customHeight="1" x14ac:dyDescent="0.3">
      <c r="B28" s="14">
        <v>90020</v>
      </c>
      <c r="C28" s="15" t="s">
        <v>31</v>
      </c>
    </row>
    <row r="29" spans="2:3" ht="21" customHeight="1" x14ac:dyDescent="0.3">
      <c r="B29" s="14">
        <v>90021</v>
      </c>
      <c r="C29" s="15" t="s">
        <v>32</v>
      </c>
    </row>
    <row r="30" spans="2:3" ht="21" customHeight="1" x14ac:dyDescent="0.3">
      <c r="B30" s="14">
        <v>90022</v>
      </c>
      <c r="C30" s="15" t="s">
        <v>33</v>
      </c>
    </row>
    <row r="31" spans="2:3" ht="21" customHeight="1" x14ac:dyDescent="0.3">
      <c r="B31" s="14">
        <v>90023</v>
      </c>
      <c r="C31" s="15" t="s">
        <v>34</v>
      </c>
    </row>
  </sheetData>
  <printOptions horizontalCentered="1"/>
  <pageMargins left="0.7" right="0.7" top="0.75" bottom="0.75" header="0.3" footer="0.3"/>
  <pageSetup fitToHeight="0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TemplateFile" ma:contentTypeID="0x010100DE95A0C693CEB341887D38A4A2B58B45040072C752107C5A7B47AA91A1EE638E6F1F" ma:contentTypeVersion="55" ma:contentTypeDescription="Create a new document." ma:contentTypeScope="" ma:versionID="3c98c83416931a21d43ed007fda5e4dd">
  <xsd:schema xmlns:xsd="http://www.w3.org/2001/XMLSchema" xmlns:xs="http://www.w3.org/2001/XMLSchema" xmlns:p="http://schemas.microsoft.com/office/2006/metadata/properties" xmlns:ns2="2958f784-0ef9-4616-b22d-512a8cad1f0d" xmlns:ns3="fb5acd76-e9f3-4601-9d69-91f53ab96ae6" targetNamespace="http://schemas.microsoft.com/office/2006/metadata/properties" ma:root="true" ma:fieldsID="938018c4f46d99993d20879d4e9ddff8" ns2:_="" ns3:_="">
    <xsd:import namespace="2958f784-0ef9-4616-b22d-512a8cad1f0d"/>
    <xsd:import namespace="fb5acd76-e9f3-4601-9d69-91f53ab96ae6"/>
    <xsd:element name="properties">
      <xsd:complexType>
        <xsd:sequence>
          <xsd:element name="documentManagement">
            <xsd:complexType>
              <xsd:all>
                <xsd:element ref="ns2:AcquiredFrom" minOccurs="0"/>
                <xsd:element ref="ns2:UACurrentWords" minOccurs="0"/>
                <xsd:element ref="ns2:TPApplication" minOccurs="0"/>
                <xsd:element ref="ns2:ApprovalLog" minOccurs="0"/>
                <xsd:element ref="ns2:ApprovalStatus" minOccurs="0"/>
                <xsd:element ref="ns2:AssetStart" minOccurs="0"/>
                <xsd:element ref="ns2:AssetExpire" minOccurs="0"/>
                <xsd:element ref="ns2:AssetId" minOccurs="0"/>
                <xsd:element ref="ns2:IsSearchable" minOccurs="0"/>
                <xsd:element ref="ns2:AssetType" minOccurs="0"/>
                <xsd:element ref="ns2:APAuthor" minOccurs="0"/>
                <xsd:element ref="ns2:AverageRating" minOccurs="0"/>
                <xsd:element ref="ns2:BlockPublish" minOccurs="0"/>
                <xsd:element ref="ns2:BugNumber" minOccurs="0"/>
                <xsd:element ref="ns2:CampaignTagsTaxHTField0" minOccurs="0"/>
                <xsd:element ref="ns2:TPClientViewer" minOccurs="0"/>
                <xsd:element ref="ns2:ClipArtFilename" minOccurs="0"/>
                <xsd:element ref="ns2:TPCommandLine" minOccurs="0"/>
                <xsd:element ref="ns2:TPComponent" minOccurs="0"/>
                <xsd:element ref="ns2:ContentItem" minOccurs="0"/>
                <xsd:element ref="ns2:CrawlForDependencies" minOccurs="0"/>
                <xsd:element ref="ns2:CSXHash" minOccurs="0"/>
                <xsd:element ref="ns2:CSXSubmissionMarket" minOccurs="0"/>
                <xsd:element ref="ns2:CSXUpdate" minOccurs="0"/>
                <xsd:element ref="ns2:IntlLangReviewDate" minOccurs="0"/>
                <xsd:element ref="ns2:IsDeleted" minOccurs="0"/>
                <xsd:element ref="ns2:APDescription" minOccurs="0"/>
                <xsd:element ref="ns2:DirectSourceMarket" minOccurs="0"/>
                <xsd:element ref="ns2:Downloads" minOccurs="0"/>
                <xsd:element ref="ns2:DSATActionTaken" minOccurs="0"/>
                <xsd:element ref="ns2:APEditor" minOccurs="0"/>
                <xsd:element ref="ns2:EditorialStatus" minOccurs="0"/>
                <xsd:element ref="ns2:EditorialTags" minOccurs="0"/>
                <xsd:element ref="ns2:TPExecutable" minOccurs="0"/>
                <xsd:element ref="ns2:FeatureTagsTaxHTField0" minOccurs="0"/>
                <xsd:element ref="ns2:TPFriendlyName" minOccurs="0"/>
                <xsd:element ref="ns2:FriendlyTitle" minOccurs="0"/>
                <xsd:element ref="ns2:PrimaryImageGen" minOccurs="0"/>
                <xsd:element ref="ns2:HandoffToMSDN" minOccurs="0"/>
                <xsd:element ref="ns2:InProjectListLookup" minOccurs="0"/>
                <xsd:element ref="ns2:TPInstallLocation" minOccurs="0"/>
                <xsd:element ref="ns2:InternalTagsTaxHTField0" minOccurs="0"/>
                <xsd:element ref="ns2:IntlLangReview" minOccurs="0"/>
                <xsd:element ref="ns2:IntlLangReviewer" minOccurs="0"/>
                <xsd:element ref="ns2:MarketSpecific" minOccurs="0"/>
                <xsd:element ref="ns2:LastCompleteVersionLookup" minOccurs="0"/>
                <xsd:element ref="ns2:LastHandOff" minOccurs="0"/>
                <xsd:element ref="ns2:LastModifiedDateTime" minOccurs="0"/>
                <xsd:element ref="ns2:LastPreviewErrorLookup" minOccurs="0"/>
                <xsd:element ref="ns2:LastPreviewResultLookup" minOccurs="0"/>
                <xsd:element ref="ns2:LastPreviewAttemptDateLookup" minOccurs="0"/>
                <xsd:element ref="ns2:LastPreviewedByLookup" minOccurs="0"/>
                <xsd:element ref="ns2:LastPreviewTimeLookup" minOccurs="0"/>
                <xsd:element ref="ns2:LastPreviewVersionLookup" minOccurs="0"/>
                <xsd:element ref="ns2:LastPublishErrorLookup" minOccurs="0"/>
                <xsd:element ref="ns2:LastPublishResultLookup" minOccurs="0"/>
                <xsd:element ref="ns2:LastPublishAttemptDateLookup" minOccurs="0"/>
                <xsd:element ref="ns2:LastPublishedByLookup" minOccurs="0"/>
                <xsd:element ref="ns2:LastPublishTimeLookup" minOccurs="0"/>
                <xsd:element ref="ns2:LastPublishVersionLookup" minOccurs="0"/>
                <xsd:element ref="ns2:TPLaunchHelpLinkType" minOccurs="0"/>
                <xsd:element ref="ns2:LegacyData" minOccurs="0"/>
                <xsd:element ref="ns2:TPLaunchHelpLink" minOccurs="0"/>
                <xsd:element ref="ns2:LocComments" minOccurs="0"/>
                <xsd:element ref="ns2:LocLastLocAttemptVersionLookup" minOccurs="0"/>
                <xsd:element ref="ns2:LocLastLocAttemptVersionTypeLookup" minOccurs="0"/>
                <xsd:element ref="ns2:LocManualTestRequired" minOccurs="0"/>
                <xsd:element ref="ns2:LocMarketGroupTiers2" minOccurs="0"/>
                <xsd:element ref="ns2:LocNewPublishedVersionLookup" minOccurs="0"/>
                <xsd:element ref="ns2:LocOverallHandbackStatusLookup" minOccurs="0"/>
                <xsd:element ref="ns2:LocOverallLocStatusLookup" minOccurs="0"/>
                <xsd:element ref="ns2:LocOverallPreviewStatusLookup" minOccurs="0"/>
                <xsd:element ref="ns2:LocOverallPublishStatusLookup" minOccurs="0"/>
                <xsd:element ref="ns2:IntlLocPriority" minOccurs="0"/>
                <xsd:element ref="ns2:LocProcessedForHandoffsLookup" minOccurs="0"/>
                <xsd:element ref="ns2:LocProcessedForMarketsLookup" minOccurs="0"/>
                <xsd:element ref="ns2:LocPublishedDependentAssetsLookup" minOccurs="0"/>
                <xsd:element ref="ns2:LocPublishedLinkedAssetsLookup" minOccurs="0"/>
                <xsd:element ref="ns2:LocRecommendedHandoff" minOccurs="0"/>
                <xsd:element ref="ns2:LocalizationTagsTaxHTField0" minOccurs="0"/>
                <xsd:element ref="ns2:MachineTranslated" minOccurs="0"/>
                <xsd:element ref="ns2:Manager" minOccurs="0"/>
                <xsd:element ref="ns2:Markets" minOccurs="0"/>
                <xsd:element ref="ns2:Milestone" minOccurs="0"/>
                <xsd:element ref="ns2:TPNamespace" minOccurs="0"/>
                <xsd:element ref="ns2:NumericId" minOccurs="0"/>
                <xsd:element ref="ns2:NumOfRatingsLookup" minOccurs="0"/>
                <xsd:element ref="ns2:OOCacheId" minOccurs="0"/>
                <xsd:element ref="ns2:OpenTemplate" minOccurs="0"/>
                <xsd:element ref="ns2:OriginAsset" minOccurs="0"/>
                <xsd:element ref="ns2:OriginalRelease" minOccurs="0"/>
                <xsd:element ref="ns2:OriginalSourceMarket" minOccurs="0"/>
                <xsd:element ref="ns2:OutputCachingOn" minOccurs="0"/>
                <xsd:element ref="ns2:ParentAssetId" minOccurs="0"/>
                <xsd:element ref="ns2:PlannedPubDate" minOccurs="0"/>
                <xsd:element ref="ns2:PolicheckWords" minOccurs="0"/>
                <xsd:element ref="ns2:BusinessGroup" minOccurs="0"/>
                <xsd:element ref="ns2:UAProjectedTotalWords" minOccurs="0"/>
                <xsd:element ref="ns2:Provider" minOccurs="0"/>
                <xsd:element ref="ns2:Providers" minOccurs="0"/>
                <xsd:element ref="ns2:PublishStatusLookup" minOccurs="0"/>
                <xsd:element ref="ns2:PublishTargets" minOccurs="0"/>
                <xsd:element ref="ns2:RecommendationsModifier" minOccurs="0"/>
                <xsd:element ref="ns2:ArtSampleDocs" minOccurs="0"/>
                <xsd:element ref="ns2:ScenarioTagsTaxHTField0" minOccurs="0"/>
                <xsd:element ref="ns2:ShowIn" minOccurs="0"/>
                <xsd:element ref="ns2:SourceTitle" minOccurs="0"/>
                <xsd:element ref="ns2:CSXSubmissionDate" minOccurs="0"/>
                <xsd:element ref="ns2:SubmitterId" minOccurs="0"/>
                <xsd:element ref="ns2:TaxCatchAll" minOccurs="0"/>
                <xsd:element ref="ns2:TaxCatchAllLabel" minOccurs="0"/>
                <xsd:element ref="ns2:TemplateStatus" minOccurs="0"/>
                <xsd:element ref="ns2:TemplateTemplateType" minOccurs="0"/>
                <xsd:element ref="ns2:ThumbnailAssetId" minOccurs="0"/>
                <xsd:element ref="ns2:TimesCloned" minOccurs="0"/>
                <xsd:element ref="ns2:TrustLevel" minOccurs="0"/>
                <xsd:element ref="ns2:UALocComments" minOccurs="0"/>
                <xsd:element ref="ns2:UALocRecommendation" minOccurs="0"/>
                <xsd:element ref="ns2:UANotes" minOccurs="0"/>
                <xsd:element ref="ns2:TPAppVersion" minOccurs="0"/>
                <xsd:element ref="ns2:VoteCount" minOccurs="0"/>
                <xsd:element ref="ns3:Description0" minOccurs="0"/>
                <xsd:element ref="ns3:Componen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58f784-0ef9-4616-b22d-512a8cad1f0d" elementFormDefault="qualified">
    <xsd:import namespace="http://schemas.microsoft.com/office/2006/documentManagement/types"/>
    <xsd:import namespace="http://schemas.microsoft.com/office/infopath/2007/PartnerControls"/>
    <xsd:element name="AcquiredFrom" ma:index="1" nillable="true" ma:displayName="Acquired From" ma:default="Internal MS" ma:internalName="AcquiredFrom" ma:readOnly="false">
      <xsd:simpleType>
        <xsd:restriction base="dms:Choice">
          <xsd:enumeration value="Internal MS"/>
          <xsd:enumeration value="Community"/>
          <xsd:enumeration value="MVP"/>
          <xsd:enumeration value="Publisher"/>
          <xsd:enumeration value="Partner"/>
          <xsd:enumeration value="None"/>
        </xsd:restriction>
      </xsd:simpleType>
    </xsd:element>
    <xsd:element name="UACurrentWords" ma:index="2" nillable="true" ma:displayName="Actual Word Count" ma:default="" ma:internalName="UACurrentWords" ma:readOnly="false">
      <xsd:simpleType>
        <xsd:restriction base="dms:Unknown"/>
      </xsd:simpleType>
    </xsd:element>
    <xsd:element name="TPApplication" ma:index="3" nillable="true" ma:displayName="Application to Open Template With" ma:default="" ma:internalName="TPApplication">
      <xsd:simpleType>
        <xsd:restriction base="dms:Text"/>
      </xsd:simpleType>
    </xsd:element>
    <xsd:element name="ApprovalLog" ma:index="4" nillable="true" ma:displayName="Approval Log" ma:default="" ma:hidden="true" ma:internalName="ApprovalLog" ma:readOnly="false">
      <xsd:simpleType>
        <xsd:restriction base="dms:Note"/>
      </xsd:simpleType>
    </xsd:element>
    <xsd:element name="ApprovalStatus" ma:index="5" nillable="true" ma:displayName="Approval Status" ma:default="InProgress" ma:internalName="ApprovalStatus" ma:readOnly="false">
      <xsd:simpleType>
        <xsd:restriction base="dms:Choice">
          <xsd:enumeration value="InProgress"/>
          <xsd:enumeration value="Rejected"/>
          <xsd:enumeration value="Questionable"/>
          <xsd:enumeration value="ApprovedAutomatic"/>
          <xsd:enumeration value="ApprovedManual"/>
          <xsd:enumeration value="On Hold"/>
          <xsd:enumeration value="Needs Review"/>
          <xsd:enumeration value="A Violation"/>
          <xsd:enumeration value="Unpublished Violation"/>
        </xsd:restriction>
      </xsd:simpleType>
    </xsd:element>
    <xsd:element name="AssetStart" ma:index="6" nillable="true" ma:displayName="Asset Begin Date" ma:default="[Today]" ma:internalName="AssetStart" ma:readOnly="false">
      <xsd:simpleType>
        <xsd:restriction base="dms:DateTime"/>
      </xsd:simpleType>
    </xsd:element>
    <xsd:element name="AssetExpire" ma:index="7" nillable="true" ma:displayName="Asset End Date" ma:default="2029-01-01T00:00:00Z" ma:internalName="AssetExpire" ma:readOnly="false">
      <xsd:simpleType>
        <xsd:restriction base="dms:DateTime"/>
      </xsd:simpleType>
    </xsd:element>
    <xsd:element name="AssetId" ma:index="8" nillable="true" ma:displayName="Asset ID" ma:default="" ma:indexed="true" ma:internalName="AssetId" ma:readOnly="false">
      <xsd:simpleType>
        <xsd:restriction base="dms:Text">
          <xsd:maxLength value="255"/>
        </xsd:restriction>
      </xsd:simpleType>
    </xsd:element>
    <xsd:element name="IsSearchable" ma:index="9" nillable="true" ma:displayName="Asset Searchable?" ma:default="true" ma:internalName="IsSearchable" ma:readOnly="false">
      <xsd:simpleType>
        <xsd:restriction base="dms:Boolean"/>
      </xsd:simpleType>
    </xsd:element>
    <xsd:element name="AssetType" ma:index="10" nillable="true" ma:displayName="Asset Type" ma:default="" ma:internalName="AssetType" ma:readOnly="false">
      <xsd:simpleType>
        <xsd:restriction base="dms:Unknown"/>
      </xsd:simpleType>
    </xsd:element>
    <xsd:element name="APAuthor" ma:index="11" nillable="true" ma:displayName="Author" ma:default="" ma:list="UserInfo" ma:internalName="APAuth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AverageRating" ma:index="12" nillable="true" ma:displayName="Average Rating" ma:internalName="AverageRating" ma:readOnly="false">
      <xsd:simpleType>
        <xsd:restriction base="dms:Text"/>
      </xsd:simpleType>
    </xsd:element>
    <xsd:element name="BlockPublish" ma:index="13" nillable="true" ma:displayName="Block from Publishing?" ma:default="" ma:internalName="BlockPublish" ma:readOnly="false">
      <xsd:simpleType>
        <xsd:restriction base="dms:Boolean"/>
      </xsd:simpleType>
    </xsd:element>
    <xsd:element name="BugNumber" ma:index="14" nillable="true" ma:displayName="Bug Number" ma:default="" ma:internalName="BugNumber" ma:readOnly="false">
      <xsd:simpleType>
        <xsd:restriction base="dms:Text"/>
      </xsd:simpleType>
    </xsd:element>
    <xsd:element name="CampaignTagsTaxHTField0" ma:index="16" nillable="true" ma:taxonomy="true" ma:internalName="CampaignTagsTaxHTField0" ma:taxonomyFieldName="CampaignTags" ma:displayName="Campaigns" ma:readOnly="false" ma:default="" ma:fieldId="{ca69c71e-a029-4733-aca1-cabc27411b08}" ma:taxonomyMulti="true" ma:sspId="8f79753a-75d3-41f5-8ca3-40b843941b4f" ma:termSetId="ca0e50d4-faa1-44ce-961e-bb1441c60e6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ClientViewer" ma:index="17" nillable="true" ma:displayName="Client Viewer" ma:default="" ma:internalName="TPClientViewer">
      <xsd:simpleType>
        <xsd:restriction base="dms:Text"/>
      </xsd:simpleType>
    </xsd:element>
    <xsd:element name="ClipArtFilename" ma:index="18" nillable="true" ma:displayName="Clip Art Name" ma:default="" ma:internalName="ClipArtFilename" ma:readOnly="false">
      <xsd:simpleType>
        <xsd:restriction base="dms:Text"/>
      </xsd:simpleType>
    </xsd:element>
    <xsd:element name="TPCommandLine" ma:index="19" nillable="true" ma:displayName="Command Line" ma:default="" ma:internalName="TPCommandLine">
      <xsd:simpleType>
        <xsd:restriction base="dms:Text"/>
      </xsd:simpleType>
    </xsd:element>
    <xsd:element name="TPComponent" ma:index="20" nillable="true" ma:displayName="Component" ma:default="" ma:internalName="TPComponent">
      <xsd:simpleType>
        <xsd:restriction base="dms:Text"/>
      </xsd:simpleType>
    </xsd:element>
    <xsd:element name="ContentItem" ma:index="21" nillable="true" ma:displayName="Content Item" ma:default="" ma:hidden="true" ma:internalName="ContentItem" ma:readOnly="false">
      <xsd:simpleType>
        <xsd:restriction base="dms:Unknown"/>
      </xsd:simpleType>
    </xsd:element>
    <xsd:element name="CrawlForDependencies" ma:index="23" nillable="true" ma:displayName="Crawl for Dependencies?" ma:default="true" ma:internalName="CrawlForDependencies" ma:readOnly="false">
      <xsd:simpleType>
        <xsd:restriction base="dms:Boolean"/>
      </xsd:simpleType>
    </xsd:element>
    <xsd:element name="CSXHash" ma:index="26" nillable="true" ma:displayName="CSX Hash" ma:default="" ma:indexed="true" ma:internalName="CSXHash" ma:readOnly="false">
      <xsd:simpleType>
        <xsd:restriction base="dms:Text"/>
      </xsd:simpleType>
    </xsd:element>
    <xsd:element name="CSXSubmissionMarket" ma:index="27" nillable="true" ma:displayName="CSX Submission Market" ma:default="" ma:list="{8D80075B-F8CE-48D6-9BD2-D195F7E115A9}" ma:internalName="CSXSubmissionMarket" ma:readOnly="false" ma:showField="MarketName" ma:web="2958f784-0ef9-4616-b22d-512a8cad1f0d">
      <xsd:simpleType>
        <xsd:restriction base="dms:Lookup"/>
      </xsd:simpleType>
    </xsd:element>
    <xsd:element name="CSXUpdate" ma:index="28" nillable="true" ma:displayName="CSX Updated?" ma:default="false" ma:internalName="CSXUpdate" ma:readOnly="false">
      <xsd:simpleType>
        <xsd:restriction base="dms:Boolean"/>
      </xsd:simpleType>
    </xsd:element>
    <xsd:element name="IntlLangReviewDate" ma:index="29" nillable="true" ma:displayName="Date to Complete Intl QA" ma:default="" ma:internalName="IntlLangReviewDate" ma:readOnly="false">
      <xsd:simpleType>
        <xsd:restriction base="dms:DateTime"/>
      </xsd:simpleType>
    </xsd:element>
    <xsd:element name="IsDeleted" ma:index="30" nillable="true" ma:displayName="Deleted?" ma:default="" ma:internalName="IsDeleted" ma:readOnly="false">
      <xsd:simpleType>
        <xsd:restriction base="dms:Boolean"/>
      </xsd:simpleType>
    </xsd:element>
    <xsd:element name="APDescription" ma:index="31" nillable="true" ma:displayName="Description" ma:default="" ma:internalName="APDescription" ma:readOnly="false">
      <xsd:simpleType>
        <xsd:restriction base="dms:Note"/>
      </xsd:simpleType>
    </xsd:element>
    <xsd:element name="DirectSourceMarket" ma:index="32" nillable="true" ma:displayName="Direct Source Market Group" ma:default="" ma:internalName="DirectSourceMarket" ma:readOnly="false">
      <xsd:simpleType>
        <xsd:restriction base="dms:Text"/>
      </xsd:simpleType>
    </xsd:element>
    <xsd:element name="Downloads" ma:index="33" nillable="true" ma:displayName="Downloads" ma:default="0" ma:hidden="true" ma:internalName="Downloads" ma:readOnly="false">
      <xsd:simpleType>
        <xsd:restriction base="dms:Unknown"/>
      </xsd:simpleType>
    </xsd:element>
    <xsd:element name="DSATActionTaken" ma:index="34" nillable="true" ma:displayName="DSAT Action Taken" ma:default="" ma:internalName="DSATActionTaken" ma:readOnly="false">
      <xsd:simpleType>
        <xsd:restriction base="dms:Choice">
          <xsd:enumeration value="Best Bets"/>
          <xsd:enumeration value="Expire"/>
          <xsd:enumeration value="Hide"/>
          <xsd:enumeration value="None"/>
        </xsd:restriction>
      </xsd:simpleType>
    </xsd:element>
    <xsd:element name="APEditor" ma:index="35" nillable="true" ma:displayName="Editor" ma:default="" ma:list="UserInfo" ma:internalName="APEdit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ialStatus" ma:index="36" nillable="true" ma:displayName="Editorial Status" ma:default="" ma:internalName="EditorialStatus" ma:readOnly="false">
      <xsd:simpleType>
        <xsd:restriction base="dms:Unknown"/>
      </xsd:simpleType>
    </xsd:element>
    <xsd:element name="EditorialTags" ma:index="37" nillable="true" ma:displayName="Editorial Tags" ma:default="" ma:internalName="EditorialTags">
      <xsd:simpleType>
        <xsd:restriction base="dms:Unknown"/>
      </xsd:simpleType>
    </xsd:element>
    <xsd:element name="TPExecutable" ma:index="38" nillable="true" ma:displayName="Executable" ma:default="" ma:internalName="TPExecutable">
      <xsd:simpleType>
        <xsd:restriction base="dms:Text"/>
      </xsd:simpleType>
    </xsd:element>
    <xsd:element name="FeatureTagsTaxHTField0" ma:index="40" nillable="true" ma:taxonomy="true" ma:internalName="FeatureTagsTaxHTField0" ma:taxonomyFieldName="FeatureTags" ma:displayName="Features" ma:readOnly="false" ma:default="" ma:fieldId="{9327d1a0-1a14-4b12-a74c-0f320f972977}" ma:taxonomyMulti="true" ma:sspId="8f79753a-75d3-41f5-8ca3-40b843941b4f" ma:termSetId="f1ab6845-967d-4854-a0ba-4ec07f0f811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FriendlyName" ma:index="41" nillable="true" ma:displayName="Friendly Name" ma:default="" ma:internalName="TPFriendlyName">
      <xsd:simpleType>
        <xsd:restriction base="dms:Text"/>
      </xsd:simpleType>
    </xsd:element>
    <xsd:element name="FriendlyTitle" ma:index="42" nillable="true" ma:displayName="Friendly Title" ma:default="" ma:description="Shorter title to be used when displaying search results" ma:internalName="FriendlyTitle" ma:readOnly="false">
      <xsd:simpleType>
        <xsd:restriction base="dms:Text"/>
      </xsd:simpleType>
    </xsd:element>
    <xsd:element name="PrimaryImageGen" ma:index="43" nillable="true" ma:displayName="Generate Images?" ma:default="true" ma:internalName="PrimaryImageGen">
      <xsd:simpleType>
        <xsd:restriction base="dms:Boolean"/>
      </xsd:simpleType>
    </xsd:element>
    <xsd:element name="HandoffToMSDN" ma:index="44" nillable="true" ma:displayName="Handoff To MSDN Date" ma:default="" ma:internalName="HandoffToMSDN" ma:readOnly="false">
      <xsd:simpleType>
        <xsd:restriction base="dms:DateTime"/>
      </xsd:simpleType>
    </xsd:element>
    <xsd:element name="InProjectListLookup" ma:index="45" nillable="true" ma:displayName="InProjectListLookup" ma:list="{1F044C38-11A0-4051-9DF8-A3AFA85E16DC}" ma:internalName="InProjectListLookup" ma:readOnly="true" ma:showField="InProjectList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InstallLocation" ma:index="46" nillable="true" ma:displayName="Install Location" ma:default="" ma:internalName="TPInstallLocation">
      <xsd:simpleType>
        <xsd:restriction base="dms:Text"/>
      </xsd:simpleType>
    </xsd:element>
    <xsd:element name="InternalTagsTaxHTField0" ma:index="48" nillable="true" ma:taxonomy="true" ma:internalName="InternalTagsTaxHTField0" ma:taxonomyFieldName="InternalTags" ma:displayName="Internal Tags" ma:readOnly="false" ma:default="" ma:fieldId="{3b364bcb-a06e-4da1-8475-f5243c3236b2}" ma:taxonomyMulti="true" ma:sspId="8f79753a-75d3-41f5-8ca3-40b843941b4f" ma:termSetId="82b6639e-f7fc-4c18-ad2d-003a6e70776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IntlLangReview" ma:index="49" nillable="true" ma:displayName="Intl Lang QA Review Required?" ma:default="" ma:internalName="IntlLangReview" ma:readOnly="false">
      <xsd:simpleType>
        <xsd:restriction base="dms:Boolean"/>
      </xsd:simpleType>
    </xsd:element>
    <xsd:element name="IntlLangReviewer" ma:index="50" nillable="true" ma:displayName="Intl Lang QA Reviewer" ma:default="" ma:internalName="IntlLangReviewer" ma:readOnly="false">
      <xsd:simpleType>
        <xsd:restriction base="dms:Text"/>
      </xsd:simpleType>
    </xsd:element>
    <xsd:element name="MarketSpecific" ma:index="51" nillable="true" ma:displayName="Is Market Specific?" ma:default="" ma:internalName="MarketSpecific" ma:readOnly="false">
      <xsd:simpleType>
        <xsd:restriction base="dms:Boolean"/>
      </xsd:simpleType>
    </xsd:element>
    <xsd:element name="LastCompleteVersionLookup" ma:index="52" nillable="true" ma:displayName="Last Complete Version Lookup" ma:default="" ma:list="{1F044C38-11A0-4051-9DF8-A3AFA85E16DC}" ma:internalName="LastCompleteVersionLookup" ma:readOnly="true" ma:showField="LastCompleteVersion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HandOff" ma:index="53" nillable="true" ma:displayName="Last Hand-off" ma:default="" ma:internalName="LastHandOff" ma:readOnly="false">
      <xsd:simpleType>
        <xsd:restriction base="dms:DateTime"/>
      </xsd:simpleType>
    </xsd:element>
    <xsd:element name="LastModifiedDateTime" ma:index="54" nillable="true" ma:displayName="Last Modified Date" ma:default="" ma:internalName="LastModifiedDateTime" ma:readOnly="false">
      <xsd:simpleType>
        <xsd:restriction base="dms:DateTime"/>
      </xsd:simpleType>
    </xsd:element>
    <xsd:element name="LastPreviewErrorLookup" ma:index="55" nillable="true" ma:displayName="Last Preview Attempt Error" ma:default="" ma:list="{1F044C38-11A0-4051-9DF8-A3AFA85E16DC}" ma:internalName="LastPreviewErrorLookup" ma:readOnly="true" ma:showField="LastPreviewError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ResultLookup" ma:index="56" nillable="true" ma:displayName="Last Preview Attempt Result" ma:default="" ma:list="{1F044C38-11A0-4051-9DF8-A3AFA85E16DC}" ma:internalName="LastPreviewResultLookup" ma:readOnly="true" ma:showField="LastPreviewResult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AttemptDateLookup" ma:index="57" nillable="true" ma:displayName="Last Preview Attempted On" ma:default="" ma:list="{1F044C38-11A0-4051-9DF8-A3AFA85E16DC}" ma:internalName="LastPreviewAttemptDateLookup" ma:readOnly="true" ma:showField="LastPreviewAttemptDate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edByLookup" ma:index="58" nillable="true" ma:displayName="Last Previewed By" ma:default="" ma:list="{1F044C38-11A0-4051-9DF8-A3AFA85E16DC}" ma:internalName="LastPreviewedByLookup" ma:readOnly="true" ma:showField="LastPreviewedBy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TimeLookup" ma:index="59" nillable="true" ma:displayName="Last Previewed Date" ma:default="" ma:list="{1F044C38-11A0-4051-9DF8-A3AFA85E16DC}" ma:internalName="LastPreviewTimeLookup" ma:readOnly="true" ma:showField="LastPreviewTime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VersionLookup" ma:index="60" nillable="true" ma:displayName="Last Previewed Version" ma:default="" ma:list="{1F044C38-11A0-4051-9DF8-A3AFA85E16DC}" ma:internalName="LastPreviewVersionLookup" ma:readOnly="true" ma:showField="LastPreviewVersion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rrorLookup" ma:index="61" nillable="true" ma:displayName="Last Publish Attempt Error" ma:default="" ma:list="{1F044C38-11A0-4051-9DF8-A3AFA85E16DC}" ma:internalName="LastPublishErrorLookup" ma:readOnly="true" ma:showField="LastPublishError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ResultLookup" ma:index="62" nillable="true" ma:displayName="Last Publish Attempt Result" ma:default="" ma:list="{1F044C38-11A0-4051-9DF8-A3AFA85E16DC}" ma:internalName="LastPublishResultLookup" ma:readOnly="true" ma:showField="LastPublishResult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AttemptDateLookup" ma:index="63" nillable="true" ma:displayName="Last Publish Attempted On" ma:default="" ma:list="{1F044C38-11A0-4051-9DF8-A3AFA85E16DC}" ma:internalName="LastPublishAttemptDateLookup" ma:readOnly="true" ma:showField="LastPublishAttemptDate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dByLookup" ma:index="64" nillable="true" ma:displayName="Last Published By" ma:default="" ma:list="{1F044C38-11A0-4051-9DF8-A3AFA85E16DC}" ma:internalName="LastPublishedByLookup" ma:readOnly="true" ma:showField="LastPublishedBy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TimeLookup" ma:index="65" nillable="true" ma:displayName="Last Published Date" ma:default="" ma:list="{1F044C38-11A0-4051-9DF8-A3AFA85E16DC}" ma:internalName="LastPublishTimeLookup" ma:readOnly="true" ma:showField="LastPublishTime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VersionLookup" ma:index="66" nillable="true" ma:displayName="Last Published Version" ma:default="" ma:list="{1F044C38-11A0-4051-9DF8-A3AFA85E16DC}" ma:internalName="LastPublishVersionLookup" ma:readOnly="true" ma:showField="LastPublishVersion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LaunchHelpLinkType" ma:index="67" nillable="true" ma:displayName="Launch Help Link Type" ma:default="Template" ma:internalName="TPLaunchHelpLinkType">
      <xsd:simpleType>
        <xsd:restriction base="dms:Choice">
          <xsd:enumeration value="Template"/>
          <xsd:enumeration value="Training"/>
          <xsd:enumeration value="URL"/>
          <xsd:enumeration value="None"/>
        </xsd:restriction>
      </xsd:simpleType>
    </xsd:element>
    <xsd:element name="LegacyData" ma:index="68" nillable="true" ma:displayName="Legacy Data" ma:default="" ma:internalName="LegacyData" ma:readOnly="false">
      <xsd:simpleType>
        <xsd:restriction base="dms:Note"/>
      </xsd:simpleType>
    </xsd:element>
    <xsd:element name="TPLaunchHelpLink" ma:index="69" nillable="true" ma:displayName="Link to Launch Help Topic" ma:default="" ma:internalName="TPLaunchHelpLink">
      <xsd:simpleType>
        <xsd:restriction base="dms:Text"/>
      </xsd:simpleType>
    </xsd:element>
    <xsd:element name="LocComments" ma:index="70" nillable="true" ma:displayName="Loc Approval Comments" ma:default="" ma:internalName="LocComments" ma:readOnly="false">
      <xsd:simpleType>
        <xsd:restriction base="dms:Note"/>
      </xsd:simpleType>
    </xsd:element>
    <xsd:element name="LocLastLocAttemptVersionLookup" ma:index="71" nillable="true" ma:displayName="Loc Last Loc Attempt Version" ma:default="" ma:list="{AC64899A-88C0-4725-BCFC-902FA402DE74}" ma:internalName="LocLastLocAttemptVersionLookup" ma:readOnly="false" ma:showField="LastLocAttemptVersion" ma:web="2958f784-0ef9-4616-b22d-512a8cad1f0d">
      <xsd:simpleType>
        <xsd:restriction base="dms:Lookup"/>
      </xsd:simpleType>
    </xsd:element>
    <xsd:element name="LocLastLocAttemptVersionTypeLookup" ma:index="72" nillable="true" ma:displayName="Loc Last Loc Attempt Version Type" ma:default="" ma:list="{AC64899A-88C0-4725-BCFC-902FA402DE74}" ma:internalName="LocLastLocAttemptVersionTypeLookup" ma:readOnly="true" ma:showField="LastLocAttemptVersionType" ma:web="2958f784-0ef9-4616-b22d-512a8cad1f0d">
      <xsd:simpleType>
        <xsd:restriction base="dms:Lookup"/>
      </xsd:simpleType>
    </xsd:element>
    <xsd:element name="LocManualTestRequired" ma:index="73" nillable="true" ma:displayName="Loc Manual Test Required" ma:default="" ma:internalName="LocManualTestRequired" ma:readOnly="false">
      <xsd:simpleType>
        <xsd:restriction base="dms:Boolean"/>
      </xsd:simpleType>
    </xsd:element>
    <xsd:element name="LocMarketGroupTiers2" ma:index="74" nillable="true" ma:displayName="Loc Market Group Tiers" ma:internalName="LocMarketGroupTiers2" ma:readOnly="false">
      <xsd:simpleType>
        <xsd:restriction base="dms:Unknown"/>
      </xsd:simpleType>
    </xsd:element>
    <xsd:element name="LocNewPublishedVersionLookup" ma:index="75" nillable="true" ma:displayName="Loc New Published Version Lookup" ma:default="" ma:list="{AC64899A-88C0-4725-BCFC-902FA402DE74}" ma:internalName="LocNewPublishedVersionLookup" ma:readOnly="true" ma:showField="NewPublishedVersion" ma:web="2958f784-0ef9-4616-b22d-512a8cad1f0d">
      <xsd:simpleType>
        <xsd:restriction base="dms:Lookup"/>
      </xsd:simpleType>
    </xsd:element>
    <xsd:element name="LocOverallHandbackStatusLookup" ma:index="76" nillable="true" ma:displayName="Loc Overall Handback Status" ma:default="" ma:list="{AC64899A-88C0-4725-BCFC-902FA402DE74}" ma:internalName="LocOverallHandbackStatusLookup" ma:readOnly="true" ma:showField="OverallHandbackStatus" ma:web="2958f784-0ef9-4616-b22d-512a8cad1f0d">
      <xsd:simpleType>
        <xsd:restriction base="dms:Lookup"/>
      </xsd:simpleType>
    </xsd:element>
    <xsd:element name="LocOverallLocStatusLookup" ma:index="77" nillable="true" ma:displayName="Loc Overall Localize Status" ma:default="" ma:list="{AC64899A-88C0-4725-BCFC-902FA402DE74}" ma:internalName="LocOverallLocStatusLookup" ma:readOnly="true" ma:showField="OverallLocStatus" ma:web="2958f784-0ef9-4616-b22d-512a8cad1f0d">
      <xsd:simpleType>
        <xsd:restriction base="dms:Lookup"/>
      </xsd:simpleType>
    </xsd:element>
    <xsd:element name="LocOverallPreviewStatusLookup" ma:index="78" nillable="true" ma:displayName="Loc Overall Preview Status" ma:default="" ma:list="{AC64899A-88C0-4725-BCFC-902FA402DE74}" ma:internalName="LocOverallPreviewStatusLookup" ma:readOnly="true" ma:showField="OverallPreviewStatus" ma:web="2958f784-0ef9-4616-b22d-512a8cad1f0d">
      <xsd:simpleType>
        <xsd:restriction base="dms:Lookup"/>
      </xsd:simpleType>
    </xsd:element>
    <xsd:element name="LocOverallPublishStatusLookup" ma:index="79" nillable="true" ma:displayName="Loc Overall Publish Status" ma:default="" ma:list="{AC64899A-88C0-4725-BCFC-902FA402DE74}" ma:internalName="LocOverallPublishStatusLookup" ma:readOnly="true" ma:showField="OverallPublishStatus" ma:web="2958f784-0ef9-4616-b22d-512a8cad1f0d">
      <xsd:simpleType>
        <xsd:restriction base="dms:Lookup"/>
      </xsd:simpleType>
    </xsd:element>
    <xsd:element name="IntlLocPriority" ma:index="80" nillable="true" ma:displayName="Loc Priority" ma:default="" ma:internalName="IntlLocPriority" ma:readOnly="false">
      <xsd:simpleType>
        <xsd:restriction base="dms:Unknown"/>
      </xsd:simpleType>
    </xsd:element>
    <xsd:element name="LocProcessedForHandoffsLookup" ma:index="81" nillable="true" ma:displayName="Loc Processed For Handoffs" ma:default="" ma:list="{AC64899A-88C0-4725-BCFC-902FA402DE74}" ma:internalName="LocProcessedForHandoffsLookup" ma:readOnly="true" ma:showField="ProcessedForHandoffs" ma:web="2958f784-0ef9-4616-b22d-512a8cad1f0d">
      <xsd:simpleType>
        <xsd:restriction base="dms:Lookup"/>
      </xsd:simpleType>
    </xsd:element>
    <xsd:element name="LocProcessedForMarketsLookup" ma:index="82" nillable="true" ma:displayName="Loc Processed For Markets" ma:default="" ma:list="{AC64899A-88C0-4725-BCFC-902FA402DE74}" ma:internalName="LocProcessedForMarketsLookup" ma:readOnly="true" ma:showField="ProcessedForMarkets" ma:web="2958f784-0ef9-4616-b22d-512a8cad1f0d">
      <xsd:simpleType>
        <xsd:restriction base="dms:Lookup"/>
      </xsd:simpleType>
    </xsd:element>
    <xsd:element name="LocPublishedDependentAssetsLookup" ma:index="83" nillable="true" ma:displayName="Loc Published Dependent Assets" ma:default="" ma:list="{AC64899A-88C0-4725-BCFC-902FA402DE74}" ma:internalName="LocPublishedDependentAssetsLookup" ma:readOnly="true" ma:showField="PublishedDependentAssets" ma:web="2958f784-0ef9-4616-b22d-512a8cad1f0d">
      <xsd:simpleType>
        <xsd:restriction base="dms:Lookup"/>
      </xsd:simpleType>
    </xsd:element>
    <xsd:element name="LocPublishedLinkedAssetsLookup" ma:index="84" nillable="true" ma:displayName="Loc Published Linked Assets" ma:default="" ma:list="{AC64899A-88C0-4725-BCFC-902FA402DE74}" ma:internalName="LocPublishedLinkedAssetsLookup" ma:readOnly="true" ma:showField="PublishedLinkedAssets" ma:web="2958f784-0ef9-4616-b22d-512a8cad1f0d">
      <xsd:simpleType>
        <xsd:restriction base="dms:Lookup"/>
      </xsd:simpleType>
    </xsd:element>
    <xsd:element name="LocRecommendedHandoff" ma:index="85" nillable="true" ma:displayName="Loc Recommended Handoff" ma:default="" ma:indexed="true" ma:internalName="LocRecommendedHandoff" ma:readOnly="false">
      <xsd:simpleType>
        <xsd:restriction base="dms:Text"/>
      </xsd:simpleType>
    </xsd:element>
    <xsd:element name="LocalizationTagsTaxHTField0" ma:index="87" nillable="true" ma:taxonomy="true" ma:internalName="LocalizationTagsTaxHTField0" ma:taxonomyFieldName="LocalizationTags" ma:displayName="Localization Tags" ma:readOnly="false" ma:default="" ma:fieldId="{251ee2d3-c117-4524-b3f1-1010c3cab2a3}" ma:taxonomyMulti="true" ma:sspId="8f79753a-75d3-41f5-8ca3-40b843941b4f" ma:termSetId="5b7703a5-8e8b-4b58-8b31-1cea35331da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achineTranslated" ma:index="88" nillable="true" ma:displayName="Machine Translated" ma:default="" ma:internalName="MachineTranslated" ma:readOnly="false">
      <xsd:simpleType>
        <xsd:restriction base="dms:Boolean"/>
      </xsd:simpleType>
    </xsd:element>
    <xsd:element name="Manager" ma:index="89" nillable="true" ma:displayName="Manager" ma:hidden="true" ma:internalName="Manager" ma:readOnly="false">
      <xsd:simpleType>
        <xsd:restriction base="dms:Text"/>
      </xsd:simpleType>
    </xsd:element>
    <xsd:element name="Markets" ma:index="90" nillable="true" ma:displayName="Markets" ma:default="" ma:description="Leave blank to show in all markets" ma:list="{8D80075B-F8CE-48D6-9BD2-D195F7E115A9}" ma:internalName="Markets" ma:readOnly="false" ma:showField="MarketName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Milestone" ma:index="91" nillable="true" ma:displayName="Milestone" ma:default="" ma:internalName="Milestone" ma:readOnly="false">
      <xsd:simpleType>
        <xsd:restriction base="dms:Unknown"/>
      </xsd:simpleType>
    </xsd:element>
    <xsd:element name="TPNamespace" ma:index="94" nillable="true" ma:displayName="Namespace" ma:default="" ma:internalName="TPNamespace">
      <xsd:simpleType>
        <xsd:restriction base="dms:Text"/>
      </xsd:simpleType>
    </xsd:element>
    <xsd:element name="NumericId" ma:index="95" nillable="true" ma:displayName="Numeric ID" ma:default="" ma:indexed="true" ma:internalName="NumericId" ma:readOnly="false">
      <xsd:simpleType>
        <xsd:restriction base="dms:Number"/>
      </xsd:simpleType>
    </xsd:element>
    <xsd:element name="NumOfRatingsLookup" ma:index="96" nillable="true" ma:displayName="NumOfRatings" ma:default="" ma:list="{1F044C38-11A0-4051-9DF8-A3AFA85E16DC}" ma:internalName="NumOfRatingsLookup" ma:readOnly="true" ma:showField="NumOfRatings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OOCacheId" ma:index="97" nillable="true" ma:displayName="OOCacheId" ma:internalName="OOCacheId" ma:readOnly="false">
      <xsd:simpleType>
        <xsd:restriction base="dms:Text"/>
      </xsd:simpleType>
    </xsd:element>
    <xsd:element name="OpenTemplate" ma:index="98" nillable="true" ma:displayName="Open Template" ma:default="true" ma:internalName="OpenTemplate">
      <xsd:simpleType>
        <xsd:restriction base="dms:Boolean"/>
      </xsd:simpleType>
    </xsd:element>
    <xsd:element name="OriginAsset" ma:index="99" nillable="true" ma:displayName="Origin Asset" ma:default="" ma:internalName="OriginAsset" ma:readOnly="false">
      <xsd:simpleType>
        <xsd:restriction base="dms:Text"/>
      </xsd:simpleType>
    </xsd:element>
    <xsd:element name="OriginalRelease" ma:index="100" nillable="true" ma:displayName="Original Release" ma:default="15" ma:internalName="OriginalRelease" ma:readOnly="false">
      <xsd:simpleType>
        <xsd:restriction base="dms:Choice">
          <xsd:enumeration value="14"/>
          <xsd:enumeration value="15"/>
          <xsd:enumeration value="16"/>
        </xsd:restriction>
      </xsd:simpleType>
    </xsd:element>
    <xsd:element name="OriginalSourceMarket" ma:index="101" nillable="true" ma:displayName="Original Source Market Group" ma:default="" ma:internalName="OriginalSourceMarket" ma:readOnly="false">
      <xsd:simpleType>
        <xsd:restriction base="dms:Text"/>
      </xsd:simpleType>
    </xsd:element>
    <xsd:element name="OutputCachingOn" ma:index="102" nillable="true" ma:displayName="Output Caching" ma:default="true" ma:hidden="true" ma:internalName="OutputCachingOn" ma:readOnly="false">
      <xsd:simpleType>
        <xsd:restriction base="dms:Boolean"/>
      </xsd:simpleType>
    </xsd:element>
    <xsd:element name="ParentAssetId" ma:index="103" nillable="true" ma:displayName="Parent Asset Id" ma:default="" ma:internalName="ParentAssetId" ma:readOnly="false">
      <xsd:simpleType>
        <xsd:restriction base="dms:Text"/>
      </xsd:simpleType>
    </xsd:element>
    <xsd:element name="PlannedPubDate" ma:index="104" nillable="true" ma:displayName="Planned Publish Date" ma:default="" ma:indexed="true" ma:internalName="PlannedPubDate" ma:readOnly="false">
      <xsd:simpleType>
        <xsd:restriction base="dms:DateTime"/>
      </xsd:simpleType>
    </xsd:element>
    <xsd:element name="PolicheckWords" ma:index="105" nillable="true" ma:displayName="Policheck Words" ma:default="" ma:internalName="PolicheckWords" ma:readOnly="false">
      <xsd:simpleType>
        <xsd:restriction base="dms:Text"/>
      </xsd:simpleType>
    </xsd:element>
    <xsd:element name="BusinessGroup" ma:index="106" nillable="true" ma:displayName="Product Division Owner" ma:default="" ma:internalName="BusinessGroup" ma:readOnly="false">
      <xsd:simpleType>
        <xsd:restriction base="dms:Unknown"/>
      </xsd:simpleType>
    </xsd:element>
    <xsd:element name="UAProjectedTotalWords" ma:index="107" nillable="true" ma:displayName="Projected Word Count" ma:default="" ma:internalName="UAProjectedTotalWords" ma:readOnly="false">
      <xsd:simpleType>
        <xsd:restriction base="dms:Unknown"/>
      </xsd:simpleType>
    </xsd:element>
    <xsd:element name="Provider" ma:index="108" nillable="true" ma:displayName="Provider" ma:default="" ma:internalName="Provider" ma:readOnly="false">
      <xsd:simpleType>
        <xsd:restriction base="dms:Unknown"/>
      </xsd:simpleType>
    </xsd:element>
    <xsd:element name="Providers" ma:index="109" nillable="true" ma:displayName="Providers" ma:default="" ma:internalName="Providers">
      <xsd:simpleType>
        <xsd:restriction base="dms:Unknown"/>
      </xsd:simpleType>
    </xsd:element>
    <xsd:element name="PublishStatusLookup" ma:index="110" nillable="true" ma:displayName="Publish Status" ma:default="" ma:list="{1F044C38-11A0-4051-9DF8-A3AFA85E16DC}" ma:internalName="PublishStatusLookup" ma:readOnly="false" ma:showField="PublishStatus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PublishTargets" ma:index="111" nillable="true" ma:displayName="Publish Target" ma:default="OfficeOnlineVNext" ma:internalName="PublishTargets" ma:readOnly="false">
      <xsd:simpleType>
        <xsd:restriction base="dms:Unknown"/>
      </xsd:simpleType>
    </xsd:element>
    <xsd:element name="RecommendationsModifier" ma:index="112" nillable="true" ma:displayName="Recommendations Modifier" ma:default="" ma:internalName="RecommendationsModifier" ma:readOnly="false">
      <xsd:simpleType>
        <xsd:restriction base="dms:Number"/>
      </xsd:simpleType>
    </xsd:element>
    <xsd:element name="ArtSampleDocs" ma:index="113" nillable="true" ma:displayName="Sample Docs" ma:default="" ma:hidden="true" ma:internalName="ArtSampleDocs" ma:readOnly="false">
      <xsd:simpleType>
        <xsd:restriction base="dms:Text"/>
      </xsd:simpleType>
    </xsd:element>
    <xsd:element name="ScenarioTagsTaxHTField0" ma:index="115" nillable="true" ma:taxonomy="true" ma:internalName="ScenarioTagsTaxHTField0" ma:taxonomyFieldName="ScenarioTags" ma:displayName="Scenarios" ma:readOnly="false" ma:default="" ma:fieldId="{654e2ea7-8c43-4b3c-9db4-bd71f7cfe4f4}" ma:taxonomyMulti="true" ma:sspId="8f79753a-75d3-41f5-8ca3-40b843941b4f" ma:termSetId="4b7d5f16-e2f2-4fc0-bab3-6e8b931e57d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owIn" ma:index="117" nillable="true" ma:displayName="Show In" ma:default="Show everywhere" ma:internalName="ShowIn" ma:readOnly="false">
      <xsd:simpleType>
        <xsd:restriction base="dms:Choice">
          <xsd:enumeration value="Hide on web"/>
          <xsd:enumeration value="On Web no search"/>
          <xsd:enumeration value="Show everywhere"/>
          <xsd:enumeration value="Special use only"/>
        </xsd:restriction>
      </xsd:simpleType>
    </xsd:element>
    <xsd:element name="SourceTitle" ma:index="118" nillable="true" ma:displayName="Source Title" ma:default="" ma:indexed="true" ma:internalName="SourceTitle" ma:readOnly="false">
      <xsd:simpleType>
        <xsd:restriction base="dms:Text"/>
      </xsd:simpleType>
    </xsd:element>
    <xsd:element name="CSXSubmissionDate" ma:index="119" nillable="true" ma:displayName="Submission Date" ma:default="" ma:internalName="CSXSubmissionDate" ma:readOnly="false">
      <xsd:simpleType>
        <xsd:restriction base="dms:DateTime"/>
      </xsd:simpleType>
    </xsd:element>
    <xsd:element name="SubmitterId" ma:index="120" nillable="true" ma:displayName="Submitter ID" ma:default="" ma:internalName="SubmitterId" ma:readOnly="false">
      <xsd:simpleType>
        <xsd:restriction base="dms:Text"/>
      </xsd:simpleType>
    </xsd:element>
    <xsd:element name="TaxCatchAll" ma:index="121" nillable="true" ma:displayName="Taxonomy Catch All Column" ma:hidden="true" ma:list="{33f01220-6030-4880-975f-b9ea0de09f53}" ma:internalName="TaxCatchAll" ma:showField="CatchAllData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22" nillable="true" ma:displayName="Taxonomy Catch All Column1" ma:hidden="true" ma:list="{33f01220-6030-4880-975f-b9ea0de09f53}" ma:internalName="TaxCatchAllLabel" ma:readOnly="true" ma:showField="CatchAllDataLabel" ma:web="2958f784-0ef9-4616-b22d-512a8cad1f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emplateStatus" ma:index="123" nillable="true" ma:displayName="Template Status" ma:default="" ma:internalName="TemplateStatus">
      <xsd:simpleType>
        <xsd:restriction base="dms:Unknown"/>
      </xsd:simpleType>
    </xsd:element>
    <xsd:element name="TemplateTemplateType" ma:index="124" nillable="true" ma:displayName="Template Type" ma:default="" ma:internalName="TemplateTemplateType">
      <xsd:simpleType>
        <xsd:restriction base="dms:Unknown"/>
      </xsd:simpleType>
    </xsd:element>
    <xsd:element name="ThumbnailAssetId" ma:index="125" nillable="true" ma:displayName="Thumbnail Image Asset" ma:default="" ma:internalName="ThumbnailAssetId" ma:readOnly="false">
      <xsd:simpleType>
        <xsd:restriction base="dms:Text"/>
      </xsd:simpleType>
    </xsd:element>
    <xsd:element name="TimesCloned" ma:index="126" nillable="true" ma:displayName="Times Cloned" ma:default="" ma:internalName="TimesCloned" ma:readOnly="false">
      <xsd:simpleType>
        <xsd:restriction base="dms:Number"/>
      </xsd:simpleType>
    </xsd:element>
    <xsd:element name="TrustLevel" ma:index="128" nillable="true" ma:displayName="Trust Level" ma:default="1 Microsoft Managed Content" ma:internalName="TrustLevel" ma:readOnly="false">
      <xsd:simpleType>
        <xsd:restriction base="dms:Unknown"/>
      </xsd:simpleType>
    </xsd:element>
    <xsd:element name="UALocComments" ma:index="129" nillable="true" ma:displayName="UA Loc Comments" ma:default="" ma:internalName="UALocComments" ma:readOnly="false">
      <xsd:simpleType>
        <xsd:restriction base="dms:Note"/>
      </xsd:simpleType>
    </xsd:element>
    <xsd:element name="UALocRecommendation" ma:index="130" nillable="true" ma:displayName="UA Loc Recommendation" ma:default="Localize" ma:internalName="UALocRecommendation" ma:readOnly="false">
      <xsd:simpleType>
        <xsd:restriction base="dms:Choice">
          <xsd:enumeration value="Localize"/>
          <xsd:enumeration value="Never Localize"/>
          <xsd:enumeration value="Priority Localize"/>
        </xsd:restriction>
      </xsd:simpleType>
    </xsd:element>
    <xsd:element name="UANotes" ma:index="131" nillable="true" ma:displayName="UA Notes" ma:default="" ma:internalName="UANotes" ma:readOnly="false">
      <xsd:simpleType>
        <xsd:restriction base="dms:Note"/>
      </xsd:simpleType>
    </xsd:element>
    <xsd:element name="TPAppVersion" ma:index="132" nillable="true" ma:displayName="Version" ma:default="" ma:internalName="TPAppVersion">
      <xsd:simpleType>
        <xsd:restriction base="dms:Text"/>
      </xsd:simpleType>
    </xsd:element>
    <xsd:element name="VoteCount" ma:index="133" nillable="true" ma:displayName="Vote Count" ma:default="" ma:internalName="VoteCount" ma:readOnly="fals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5acd76-e9f3-4601-9d69-91f53ab96ae6" elementFormDefault="qualified">
    <xsd:import namespace="http://schemas.microsoft.com/office/2006/documentManagement/types"/>
    <xsd:import namespace="http://schemas.microsoft.com/office/infopath/2007/PartnerControls"/>
    <xsd:element name="Description0" ma:index="134" nillable="true" ma:displayName="Description" ma:internalName="Description0">
      <xsd:simpleType>
        <xsd:restriction base="dms:Note"/>
      </xsd:simpleType>
    </xsd:element>
    <xsd:element name="Component" ma:index="135" nillable="true" ma:displayName="Component" ma:internalName="Component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2" ma:displayName="Content Type"/>
        <xsd:element ref="dc:title" minOccurs="0" maxOccurs="1" ma:index="12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PDescription xmlns="2958f784-0ef9-4616-b22d-512a8cad1f0d" xsi:nil="true"/>
    <AssetExpire xmlns="2958f784-0ef9-4616-b22d-512a8cad1f0d">2029-01-01T08:00:00+00:00</AssetExpire>
    <CampaignTagsTaxHTField0 xmlns="2958f784-0ef9-4616-b22d-512a8cad1f0d">
      <Terms xmlns="http://schemas.microsoft.com/office/infopath/2007/PartnerControls"/>
    </CampaignTagsTaxHTField0>
    <IntlLangReviewDate xmlns="2958f784-0ef9-4616-b22d-512a8cad1f0d" xsi:nil="true"/>
    <TPFriendlyName xmlns="2958f784-0ef9-4616-b22d-512a8cad1f0d" xsi:nil="true"/>
    <IntlLangReview xmlns="2958f784-0ef9-4616-b22d-512a8cad1f0d">false</IntlLangReview>
    <LocLastLocAttemptVersionLookup xmlns="2958f784-0ef9-4616-b22d-512a8cad1f0d">848666</LocLastLocAttemptVersionLookup>
    <PolicheckWords xmlns="2958f784-0ef9-4616-b22d-512a8cad1f0d" xsi:nil="true"/>
    <SubmitterId xmlns="2958f784-0ef9-4616-b22d-512a8cad1f0d" xsi:nil="true"/>
    <AcquiredFrom xmlns="2958f784-0ef9-4616-b22d-512a8cad1f0d">Internal MS</AcquiredFrom>
    <EditorialStatus xmlns="2958f784-0ef9-4616-b22d-512a8cad1f0d">Complete</EditorialStatus>
    <Markets xmlns="2958f784-0ef9-4616-b22d-512a8cad1f0d"/>
    <OriginAsset xmlns="2958f784-0ef9-4616-b22d-512a8cad1f0d" xsi:nil="true"/>
    <AssetStart xmlns="2958f784-0ef9-4616-b22d-512a8cad1f0d">2012-07-27T02:40:00+00:00</AssetStart>
    <FriendlyTitle xmlns="2958f784-0ef9-4616-b22d-512a8cad1f0d" xsi:nil="true"/>
    <MarketSpecific xmlns="2958f784-0ef9-4616-b22d-512a8cad1f0d">false</MarketSpecific>
    <TPNamespace xmlns="2958f784-0ef9-4616-b22d-512a8cad1f0d" xsi:nil="true"/>
    <PublishStatusLookup xmlns="2958f784-0ef9-4616-b22d-512a8cad1f0d">
      <Value>671717</Value>
    </PublishStatusLookup>
    <APAuthor xmlns="2958f784-0ef9-4616-b22d-512a8cad1f0d">
      <UserInfo>
        <DisplayName>REDMOND\v-sa</DisplayName>
        <AccountId>2467</AccountId>
        <AccountType/>
      </UserInfo>
    </APAuthor>
    <TPCommandLine xmlns="2958f784-0ef9-4616-b22d-512a8cad1f0d" xsi:nil="true"/>
    <IntlLangReviewer xmlns="2958f784-0ef9-4616-b22d-512a8cad1f0d" xsi:nil="true"/>
    <OpenTemplate xmlns="2958f784-0ef9-4616-b22d-512a8cad1f0d">true</OpenTemplate>
    <CSXSubmissionDate xmlns="2958f784-0ef9-4616-b22d-512a8cad1f0d" xsi:nil="true"/>
    <TaxCatchAll xmlns="2958f784-0ef9-4616-b22d-512a8cad1f0d"/>
    <Manager xmlns="2958f784-0ef9-4616-b22d-512a8cad1f0d" xsi:nil="true"/>
    <NumericId xmlns="2958f784-0ef9-4616-b22d-512a8cad1f0d" xsi:nil="true"/>
    <ParentAssetId xmlns="2958f784-0ef9-4616-b22d-512a8cad1f0d" xsi:nil="true"/>
    <OriginalSourceMarket xmlns="2958f784-0ef9-4616-b22d-512a8cad1f0d">english</OriginalSourceMarket>
    <ApprovalStatus xmlns="2958f784-0ef9-4616-b22d-512a8cad1f0d">InProgress</ApprovalStatus>
    <TPComponent xmlns="2958f784-0ef9-4616-b22d-512a8cad1f0d" xsi:nil="true"/>
    <EditorialTags xmlns="2958f784-0ef9-4616-b22d-512a8cad1f0d" xsi:nil="true"/>
    <TPExecutable xmlns="2958f784-0ef9-4616-b22d-512a8cad1f0d" xsi:nil="true"/>
    <TPLaunchHelpLink xmlns="2958f784-0ef9-4616-b22d-512a8cad1f0d" xsi:nil="true"/>
    <LocComments xmlns="2958f784-0ef9-4616-b22d-512a8cad1f0d" xsi:nil="true"/>
    <LocRecommendedHandoff xmlns="2958f784-0ef9-4616-b22d-512a8cad1f0d" xsi:nil="true"/>
    <SourceTitle xmlns="2958f784-0ef9-4616-b22d-512a8cad1f0d" xsi:nil="true"/>
    <CSXUpdate xmlns="2958f784-0ef9-4616-b22d-512a8cad1f0d">false</CSXUpdate>
    <IntlLocPriority xmlns="2958f784-0ef9-4616-b22d-512a8cad1f0d" xsi:nil="true"/>
    <UAProjectedTotalWords xmlns="2958f784-0ef9-4616-b22d-512a8cad1f0d" xsi:nil="true"/>
    <AssetType xmlns="2958f784-0ef9-4616-b22d-512a8cad1f0d">TP</AssetType>
    <MachineTranslated xmlns="2958f784-0ef9-4616-b22d-512a8cad1f0d">false</MachineTranslated>
    <OutputCachingOn xmlns="2958f784-0ef9-4616-b22d-512a8cad1f0d">false</OutputCachingOn>
    <TemplateStatus xmlns="2958f784-0ef9-4616-b22d-512a8cad1f0d">Complete</TemplateStatus>
    <IsSearchable xmlns="2958f784-0ef9-4616-b22d-512a8cad1f0d">true</IsSearchable>
    <ContentItem xmlns="2958f784-0ef9-4616-b22d-512a8cad1f0d" xsi:nil="true"/>
    <HandoffToMSDN xmlns="2958f784-0ef9-4616-b22d-512a8cad1f0d" xsi:nil="true"/>
    <ShowIn xmlns="2958f784-0ef9-4616-b22d-512a8cad1f0d">Show everywhere</ShowIn>
    <ThumbnailAssetId xmlns="2958f784-0ef9-4616-b22d-512a8cad1f0d" xsi:nil="true"/>
    <UALocComments xmlns="2958f784-0ef9-4616-b22d-512a8cad1f0d" xsi:nil="true"/>
    <UALocRecommendation xmlns="2958f784-0ef9-4616-b22d-512a8cad1f0d">Localize</UALocRecommendation>
    <LastModifiedDateTime xmlns="2958f784-0ef9-4616-b22d-512a8cad1f0d" xsi:nil="true"/>
    <LegacyData xmlns="2958f784-0ef9-4616-b22d-512a8cad1f0d" xsi:nil="true"/>
    <LocManualTestRequired xmlns="2958f784-0ef9-4616-b22d-512a8cad1f0d">false</LocManualTestRequired>
    <LocMarketGroupTiers2 xmlns="2958f784-0ef9-4616-b22d-512a8cad1f0d" xsi:nil="true"/>
    <ClipArtFilename xmlns="2958f784-0ef9-4616-b22d-512a8cad1f0d" xsi:nil="true"/>
    <TPApplication xmlns="2958f784-0ef9-4616-b22d-512a8cad1f0d" xsi:nil="true"/>
    <CSXHash xmlns="2958f784-0ef9-4616-b22d-512a8cad1f0d" xsi:nil="true"/>
    <DirectSourceMarket xmlns="2958f784-0ef9-4616-b22d-512a8cad1f0d">english</DirectSourceMarket>
    <PrimaryImageGen xmlns="2958f784-0ef9-4616-b22d-512a8cad1f0d">true</PrimaryImageGen>
    <PlannedPubDate xmlns="2958f784-0ef9-4616-b22d-512a8cad1f0d" xsi:nil="true"/>
    <CSXSubmissionMarket xmlns="2958f784-0ef9-4616-b22d-512a8cad1f0d" xsi:nil="true"/>
    <Downloads xmlns="2958f784-0ef9-4616-b22d-512a8cad1f0d">0</Downloads>
    <ArtSampleDocs xmlns="2958f784-0ef9-4616-b22d-512a8cad1f0d" xsi:nil="true"/>
    <TrustLevel xmlns="2958f784-0ef9-4616-b22d-512a8cad1f0d">1 Microsoft Managed Content</TrustLevel>
    <BlockPublish xmlns="2958f784-0ef9-4616-b22d-512a8cad1f0d">false</BlockPublish>
    <TPLaunchHelpLinkType xmlns="2958f784-0ef9-4616-b22d-512a8cad1f0d">Template</TPLaunchHelpLinkType>
    <LocalizationTagsTaxHTField0 xmlns="2958f784-0ef9-4616-b22d-512a8cad1f0d">
      <Terms xmlns="http://schemas.microsoft.com/office/infopath/2007/PartnerControls"/>
    </LocalizationTagsTaxHTField0>
    <BusinessGroup xmlns="2958f784-0ef9-4616-b22d-512a8cad1f0d" xsi:nil="true"/>
    <Providers xmlns="2958f784-0ef9-4616-b22d-512a8cad1f0d" xsi:nil="true"/>
    <TemplateTemplateType xmlns="2958f784-0ef9-4616-b22d-512a8cad1f0d">Excel 2007 Default</TemplateTemplateType>
    <TimesCloned xmlns="2958f784-0ef9-4616-b22d-512a8cad1f0d" xsi:nil="true"/>
    <TPAppVersion xmlns="2958f784-0ef9-4616-b22d-512a8cad1f0d" xsi:nil="true"/>
    <VoteCount xmlns="2958f784-0ef9-4616-b22d-512a8cad1f0d" xsi:nil="true"/>
    <AverageRating xmlns="2958f784-0ef9-4616-b22d-512a8cad1f0d" xsi:nil="true"/>
    <FeatureTagsTaxHTField0 xmlns="2958f784-0ef9-4616-b22d-512a8cad1f0d">
      <Terms xmlns="http://schemas.microsoft.com/office/infopath/2007/PartnerControls"/>
    </FeatureTagsTaxHTField0>
    <Provider xmlns="2958f784-0ef9-4616-b22d-512a8cad1f0d" xsi:nil="true"/>
    <UACurrentWords xmlns="2958f784-0ef9-4616-b22d-512a8cad1f0d" xsi:nil="true"/>
    <AssetId xmlns="2958f784-0ef9-4616-b22d-512a8cad1f0d">TP103107640</AssetId>
    <TPClientViewer xmlns="2958f784-0ef9-4616-b22d-512a8cad1f0d" xsi:nil="true"/>
    <DSATActionTaken xmlns="2958f784-0ef9-4616-b22d-512a8cad1f0d" xsi:nil="true"/>
    <APEditor xmlns="2958f784-0ef9-4616-b22d-512a8cad1f0d">
      <UserInfo>
        <DisplayName/>
        <AccountId xsi:nil="true"/>
        <AccountType/>
      </UserInfo>
    </APEditor>
    <TPInstallLocation xmlns="2958f784-0ef9-4616-b22d-512a8cad1f0d" xsi:nil="true"/>
    <OOCacheId xmlns="2958f784-0ef9-4616-b22d-512a8cad1f0d" xsi:nil="true"/>
    <IsDeleted xmlns="2958f784-0ef9-4616-b22d-512a8cad1f0d">false</IsDeleted>
    <PublishTargets xmlns="2958f784-0ef9-4616-b22d-512a8cad1f0d">OfficeOnlineVNext</PublishTargets>
    <ApprovalLog xmlns="2958f784-0ef9-4616-b22d-512a8cad1f0d" xsi:nil="true"/>
    <BugNumber xmlns="2958f784-0ef9-4616-b22d-512a8cad1f0d" xsi:nil="true"/>
    <CrawlForDependencies xmlns="2958f784-0ef9-4616-b22d-512a8cad1f0d">false</CrawlForDependencies>
    <InternalTagsTaxHTField0 xmlns="2958f784-0ef9-4616-b22d-512a8cad1f0d">
      <Terms xmlns="http://schemas.microsoft.com/office/infopath/2007/PartnerControls"/>
    </InternalTagsTaxHTField0>
    <LastHandOff xmlns="2958f784-0ef9-4616-b22d-512a8cad1f0d" xsi:nil="true"/>
    <Milestone xmlns="2958f784-0ef9-4616-b22d-512a8cad1f0d" xsi:nil="true"/>
    <OriginalRelease xmlns="2958f784-0ef9-4616-b22d-512a8cad1f0d">15</OriginalRelease>
    <RecommendationsModifier xmlns="2958f784-0ef9-4616-b22d-512a8cad1f0d" xsi:nil="true"/>
    <ScenarioTagsTaxHTField0 xmlns="2958f784-0ef9-4616-b22d-512a8cad1f0d">
      <Terms xmlns="http://schemas.microsoft.com/office/infopath/2007/PartnerControls"/>
    </ScenarioTagsTaxHTField0>
    <UANotes xmlns="2958f784-0ef9-4616-b22d-512a8cad1f0d" xsi:nil="true"/>
    <Description0 xmlns="fb5acd76-e9f3-4601-9d69-91f53ab96ae6" xsi:nil="true"/>
    <Component xmlns="fb5acd76-e9f3-4601-9d69-91f53ab96ae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3FB34183-1CCE-46FB-8D12-4B76E0FD9A15}"/>
</file>

<file path=customXml/itemProps2.xml><?xml version="1.0" encoding="utf-8"?>
<ds:datastoreItem xmlns:ds="http://schemas.openxmlformats.org/officeDocument/2006/customXml" ds:itemID="{D3D78DEB-56D8-406B-871A-0F5E9EDA16B1}"/>
</file>

<file path=customXml/itemProps3.xml><?xml version="1.0" encoding="utf-8"?>
<ds:datastoreItem xmlns:ds="http://schemas.openxmlformats.org/officeDocument/2006/customXml" ds:itemID="{40368F1F-5A8B-4BFB-8D1A-08CD44CB84E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8</vt:i4>
      </vt:variant>
    </vt:vector>
  </HeadingPairs>
  <TitlesOfParts>
    <vt:vector size="11" baseType="lpstr">
      <vt:lpstr>Datos de ventas</vt:lpstr>
      <vt:lpstr>Informe de ventas</vt:lpstr>
      <vt:lpstr>Inventario</vt:lpstr>
      <vt:lpstr>'Datos de ventas'!Área_de_impresión</vt:lpstr>
      <vt:lpstr>'Informe de ventas'!Área_de_impresión</vt:lpstr>
      <vt:lpstr>Inventario!Área_de_impresión</vt:lpstr>
      <vt:lpstr>NP</vt:lpstr>
      <vt:lpstr>NP_Descripción</vt:lpstr>
      <vt:lpstr>'Datos de ventas'!Títulos_a_imprimir</vt:lpstr>
      <vt:lpstr>'Informe de ventas'!Títulos_a_imprimir</vt:lpstr>
      <vt:lpstr>Inventario!Títulos_a_imprimir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2012-07-26T19:31:23Z</dcterms:created>
  <dcterms:modified xsi:type="dcterms:W3CDTF">2012-09-28T12:10:25Z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0x010100DE95A0C693CEB341887D38A4A2B58B45040072C752107C5A7B47AA91A1EE638E6F1F</vt:lpwstr>
  </property>
  <property fmtid="{D5CDD505-2E9C-101B-9397-08002B2CF9AE}" pid="3" name="InternalTags">
    <vt:lpwstr/>
  </property>
  <property fmtid="{D5CDD505-2E9C-101B-9397-08002B2CF9AE}" pid="4" name="FeatureTags">
    <vt:lpwstr/>
  </property>
  <property fmtid="{D5CDD505-2E9C-101B-9397-08002B2CF9AE}" pid="5" name="LocalizationTags">
    <vt:lpwstr/>
  </property>
  <property fmtid="{D5CDD505-2E9C-101B-9397-08002B2CF9AE}" pid="6" name="ScenarioTags">
    <vt:lpwstr/>
  </property>
  <property fmtid="{D5CDD505-2E9C-101B-9397-08002B2CF9AE}" pid="7" name="CampaignTags">
    <vt:lpwstr/>
  </property>
  <property fmtid="{D5CDD505-2E9C-101B-9397-08002B2CF9AE}" pid="8" name="HiddenCategoryTags">
    <vt:lpwstr/>
  </property>
  <property fmtid="{D5CDD505-2E9C-101B-9397-08002B2CF9AE}" pid="9" name="CategoryTags">
    <vt:lpwstr/>
  </property>
  <property fmtid="{D5CDD505-2E9C-101B-9397-08002B2CF9AE}" pid="10" name="LocMarketGroupTiers">
    <vt:lpwstr/>
  </property>
  <property fmtid="{D5CDD505-2E9C-101B-9397-08002B2CF9AE}" pid="11" name="CategoryTagsTaxHTField0">
    <vt:lpwstr/>
  </property>
  <property fmtid="{D5CDD505-2E9C-101B-9397-08002B2CF9AE}" pid="12" name="HiddenCategoryTagsTaxHTField0">
    <vt:lpwstr/>
  </property>
</Properties>
</file>